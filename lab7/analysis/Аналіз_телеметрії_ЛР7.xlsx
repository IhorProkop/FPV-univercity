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оказники" sheetId="1" state="visible" r:id="rId3"/>
    <sheet name="Графіки" sheetId="2" state="visible" r:id="rId4"/>
    <sheet name="CSV_QGC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<sst xmlns="http://schemas.openxmlformats.org/spreadsheetml/2006/main" count="715" uniqueCount="668">
  <si>
    <t xml:space="preserve">Показник</t>
  </si>
  <si>
    <t xml:space="preserve">Значення</t>
  </si>
  <si>
    <t xml:space="preserve">Пояснення</t>
  </si>
  <si>
    <t xml:space="preserve">Час армування (початок запису CSV)</t>
  </si>
  <si>
    <t xml:space="preserve">перший рядок CSV</t>
  </si>
  <si>
    <t xml:space="preserve">Момент відриву від землі (висота &gt; 0,3 м)</t>
  </si>
  <si>
    <t xml:space="preserve">MINIFS</t>
  </si>
  <si>
    <t xml:space="preserve">Час торкання землі</t>
  </si>
  <si>
    <t xml:space="preserve">MAXIFS</t>
  </si>
  <si>
    <t xml:space="preserve">Найбільша висота, м</t>
  </si>
  <si>
    <t xml:space="preserve">altitudeRelative × 0,3048</t>
  </si>
  <si>
    <t xml:space="preserve">Найбільша повітряна швидкість, м/с</t>
  </si>
  <si>
    <t xml:space="preserve">airSpeed × 0,44704</t>
  </si>
  <si>
    <t xml:space="preserve">Найбільша наземна швидкість, м/с</t>
  </si>
  <si>
    <t xml:space="preserve">groundSpeed × 0,44704</t>
  </si>
  <si>
    <t xml:space="preserve">Від arm до disarm за годинником ПК, с</t>
  </si>
  <si>
    <t xml:space="preserve">рядок, де flightTime перестає зростати</t>
  </si>
  <si>
    <t xml:space="preserve">Від зльоту до посадки за годинником ПК, с</t>
  </si>
  <si>
    <t xml:space="preserve">реальний час, RTF ≈ 0,2</t>
  </si>
  <si>
    <t xml:space="preserve">Початкова координата lat</t>
  </si>
  <si>
    <t xml:space="preserve">Початкова координата lon</t>
  </si>
  <si>
    <t xml:space="preserve">Кінцева координата lat</t>
  </si>
  <si>
    <t xml:space="preserve">Кінцева координата lon</t>
  </si>
  <si>
    <t xml:space="preserve">Максимальний |roll|, град.</t>
  </si>
  <si>
    <t xml:space="preserve">Середня висота на ділянці WP, м</t>
  </si>
  <si>
    <t xml:space="preserve">missionItemIndex = 2</t>
  </si>
  <si>
    <t xml:space="preserve">Відстань від H після посадки, м</t>
  </si>
  <si>
    <t xml:space="preserve">distanceToHome × 0,3048</t>
  </si>
  <si>
    <t xml:space="preserve">Час зльоту (час автопілота), с</t>
  </si>
  <si>
    <t xml:space="preserve">з .tlog: набір 0,2 → 44,9 м без зависання на 3 м</t>
  </si>
  <si>
    <t xml:space="preserve">Час польоту (час автопілота), с</t>
  </si>
  <si>
    <t xml:space="preserve">з .tlog: від відриву до торкання</t>
  </si>
  <si>
    <t xml:space="preserve">Режими польоту</t>
  </si>
  <si>
    <t xml:space="preserve">GUIDED → AUTO</t>
  </si>
  <si>
    <t xml:space="preserve">HEARTBEAT.custom_mode: 4 → 3 (.tlog)</t>
  </si>
  <si>
    <t xml:space="preserve">Стан arm до / після місії</t>
  </si>
  <si>
    <t xml:space="preserve">DISARMED / DISARMED</t>
  </si>
  <si>
    <t xml:space="preserve">HEARTBEAT.base_mode: 81 / 89</t>
  </si>
  <si>
    <t xml:space="preserve">Timestamp</t>
  </si>
  <si>
    <t xml:space="preserve">flightTime</t>
  </si>
  <si>
    <t xml:space="preserve">missionItemIndex</t>
  </si>
  <si>
    <t xml:space="preserve">altitudeRelative</t>
  </si>
  <si>
    <t xml:space="preserve">airSpeed</t>
  </si>
  <si>
    <t xml:space="preserve">groundSpeed</t>
  </si>
  <si>
    <t xml:space="preserve">climbRate</t>
  </si>
  <si>
    <t xml:space="preserve">roll</t>
  </si>
  <si>
    <t xml:space="preserve">pitch</t>
  </si>
  <si>
    <t xml:space="preserve">heading</t>
  </si>
  <si>
    <t xml:space="preserve">gps.lat</t>
  </si>
  <si>
    <t xml:space="preserve">gps.lon</t>
  </si>
  <si>
    <t xml:space="preserve">distanceToHome</t>
  </si>
  <si>
    <t xml:space="preserve">t, с</t>
  </si>
  <si>
    <t xml:space="preserve">Висота, м</t>
  </si>
  <si>
    <t xml:space="preserve">Повітряна шв., м/с</t>
  </si>
  <si>
    <t xml:space="preserve">Наземна шв., м/с</t>
  </si>
  <si>
    <t xml:space="preserve">00:00:00</t>
  </si>
  <si>
    <t xml:space="preserve">00:00:01</t>
  </si>
  <si>
    <t xml:space="preserve">00:00:02</t>
  </si>
  <si>
    <t xml:space="preserve">00:00:03</t>
  </si>
  <si>
    <t xml:space="preserve">00:00:04</t>
  </si>
  <si>
    <t xml:space="preserve">00:00:05</t>
  </si>
  <si>
    <t xml:space="preserve">00:00:06</t>
  </si>
  <si>
    <t xml:space="preserve">00:00:07</t>
  </si>
  <si>
    <t xml:space="preserve">00:00:08</t>
  </si>
  <si>
    <t xml:space="preserve">00:00:09</t>
  </si>
  <si>
    <t xml:space="preserve">00:00:10</t>
  </si>
  <si>
    <t xml:space="preserve">00:00:11</t>
  </si>
  <si>
    <t xml:space="preserve">00:00:12</t>
  </si>
  <si>
    <t xml:space="preserve">00:00:13</t>
  </si>
  <si>
    <t xml:space="preserve">00:00:14</t>
  </si>
  <si>
    <t xml:space="preserve">00:00:15</t>
  </si>
  <si>
    <t xml:space="preserve">00:00:19</t>
  </si>
  <si>
    <t xml:space="preserve">00:00:21</t>
  </si>
  <si>
    <t xml:space="preserve">00:00:24</t>
  </si>
  <si>
    <t xml:space="preserve">00:00:25</t>
  </si>
  <si>
    <t xml:space="preserve">00:00:26</t>
  </si>
  <si>
    <t xml:space="preserve">00:00:27</t>
  </si>
  <si>
    <t xml:space="preserve">00:00:28</t>
  </si>
  <si>
    <t xml:space="preserve">00:00:29</t>
  </si>
  <si>
    <t xml:space="preserve">00:00:30</t>
  </si>
  <si>
    <t xml:space="preserve">00:00:31</t>
  </si>
  <si>
    <t xml:space="preserve">00:00:32</t>
  </si>
  <si>
    <t xml:space="preserve">00:00:33</t>
  </si>
  <si>
    <t xml:space="preserve">00:00:34</t>
  </si>
  <si>
    <t xml:space="preserve">00:00:35</t>
  </si>
  <si>
    <t xml:space="preserve">00:00:36</t>
  </si>
  <si>
    <t xml:space="preserve">00:00:37</t>
  </si>
  <si>
    <t xml:space="preserve">00:00:38</t>
  </si>
  <si>
    <t xml:space="preserve">00:00:39</t>
  </si>
  <si>
    <t xml:space="preserve">00:00:40</t>
  </si>
  <si>
    <t xml:space="preserve">00:00:41</t>
  </si>
  <si>
    <t xml:space="preserve">00:00:42</t>
  </si>
  <si>
    <t xml:space="preserve">00:00:43</t>
  </si>
  <si>
    <t xml:space="preserve">00:00:44</t>
  </si>
  <si>
    <t xml:space="preserve">00:00:45</t>
  </si>
  <si>
    <t xml:space="preserve">00:00:46</t>
  </si>
  <si>
    <t xml:space="preserve">00:00:47</t>
  </si>
  <si>
    <t xml:space="preserve">00:00:48</t>
  </si>
  <si>
    <t xml:space="preserve">00:00:49</t>
  </si>
  <si>
    <t xml:space="preserve">00:00:50</t>
  </si>
  <si>
    <t xml:space="preserve">00:00:51</t>
  </si>
  <si>
    <t xml:space="preserve">00:00:52</t>
  </si>
  <si>
    <t xml:space="preserve">00:00:53</t>
  </si>
  <si>
    <t xml:space="preserve">00:00:54</t>
  </si>
  <si>
    <t xml:space="preserve">00:00:55</t>
  </si>
  <si>
    <t xml:space="preserve">00:00:56</t>
  </si>
  <si>
    <t xml:space="preserve">00:00:57</t>
  </si>
  <si>
    <t xml:space="preserve">00:00:58</t>
  </si>
  <si>
    <t xml:space="preserve">00:00:59</t>
  </si>
  <si>
    <t xml:space="preserve">00:01:00</t>
  </si>
  <si>
    <t xml:space="preserve">00:01:01</t>
  </si>
  <si>
    <t xml:space="preserve">00:01:02</t>
  </si>
  <si>
    <t xml:space="preserve">00:01:03</t>
  </si>
  <si>
    <t xml:space="preserve">00:01:04</t>
  </si>
  <si>
    <t xml:space="preserve">00:01:05</t>
  </si>
  <si>
    <t xml:space="preserve">00:01:06</t>
  </si>
  <si>
    <t xml:space="preserve">00:01:07</t>
  </si>
  <si>
    <t xml:space="preserve">00:01:08</t>
  </si>
  <si>
    <t xml:space="preserve">00:01:09</t>
  </si>
  <si>
    <t xml:space="preserve">00:01:10</t>
  </si>
  <si>
    <t xml:space="preserve">00:01:11</t>
  </si>
  <si>
    <t xml:space="preserve">00:01:12</t>
  </si>
  <si>
    <t xml:space="preserve">00:01:13</t>
  </si>
  <si>
    <t xml:space="preserve">00:01:14</t>
  </si>
  <si>
    <t xml:space="preserve">00:01:15</t>
  </si>
  <si>
    <t xml:space="preserve">00:01:16</t>
  </si>
  <si>
    <t xml:space="preserve">00:01:17</t>
  </si>
  <si>
    <t xml:space="preserve">00:01:18</t>
  </si>
  <si>
    <t xml:space="preserve">00:01:19</t>
  </si>
  <si>
    <t xml:space="preserve">00:01:20</t>
  </si>
  <si>
    <t xml:space="preserve">00:01:21</t>
  </si>
  <si>
    <t xml:space="preserve">00:01:22</t>
  </si>
  <si>
    <t xml:space="preserve">00:01:23</t>
  </si>
  <si>
    <t xml:space="preserve">00:01:24</t>
  </si>
  <si>
    <t xml:space="preserve">00:01:25</t>
  </si>
  <si>
    <t xml:space="preserve">00:01:26</t>
  </si>
  <si>
    <t xml:space="preserve">00:01:27</t>
  </si>
  <si>
    <t xml:space="preserve">00:01:28</t>
  </si>
  <si>
    <t xml:space="preserve">00:01:29</t>
  </si>
  <si>
    <t xml:space="preserve">00:01:30</t>
  </si>
  <si>
    <t xml:space="preserve">00:01:31</t>
  </si>
  <si>
    <t xml:space="preserve">00:01:32</t>
  </si>
  <si>
    <t xml:space="preserve">00:01:33</t>
  </si>
  <si>
    <t xml:space="preserve">00:01:34</t>
  </si>
  <si>
    <t xml:space="preserve">00:01:35</t>
  </si>
  <si>
    <t xml:space="preserve">00:01:36</t>
  </si>
  <si>
    <t xml:space="preserve">00:01:37</t>
  </si>
  <si>
    <t xml:space="preserve">00:01:38</t>
  </si>
  <si>
    <t xml:space="preserve">00:01:39</t>
  </si>
  <si>
    <t xml:space="preserve">00:01:40</t>
  </si>
  <si>
    <t xml:space="preserve">00:01:41</t>
  </si>
  <si>
    <t xml:space="preserve">00:01:42</t>
  </si>
  <si>
    <t xml:space="preserve">00:01:43</t>
  </si>
  <si>
    <t xml:space="preserve">00:01:44</t>
  </si>
  <si>
    <t xml:space="preserve">00:01:45</t>
  </si>
  <si>
    <t xml:space="preserve">00:01:46</t>
  </si>
  <si>
    <t xml:space="preserve">00:01:47</t>
  </si>
  <si>
    <t xml:space="preserve">00:01:48</t>
  </si>
  <si>
    <t xml:space="preserve">00:01:49</t>
  </si>
  <si>
    <t xml:space="preserve">00:01:50</t>
  </si>
  <si>
    <t xml:space="preserve">00:01:51</t>
  </si>
  <si>
    <t xml:space="preserve">00:01:52</t>
  </si>
  <si>
    <t xml:space="preserve">00:01:53</t>
  </si>
  <si>
    <t xml:space="preserve">00:01:54</t>
  </si>
  <si>
    <t xml:space="preserve">00:01:55</t>
  </si>
  <si>
    <t xml:space="preserve">00:01:56</t>
  </si>
  <si>
    <t xml:space="preserve">00:01:57</t>
  </si>
  <si>
    <t xml:space="preserve">00:01:58</t>
  </si>
  <si>
    <t xml:space="preserve">00:01:59</t>
  </si>
  <si>
    <t xml:space="preserve">00:02:00</t>
  </si>
  <si>
    <t xml:space="preserve">00:02:01</t>
  </si>
  <si>
    <t xml:space="preserve">00:02:02</t>
  </si>
  <si>
    <t xml:space="preserve">00:02:03</t>
  </si>
  <si>
    <t xml:space="preserve">00:02:04</t>
  </si>
  <si>
    <t xml:space="preserve">00:02:05</t>
  </si>
  <si>
    <t xml:space="preserve">00:02:06</t>
  </si>
  <si>
    <t xml:space="preserve">00:02:07</t>
  </si>
  <si>
    <t xml:space="preserve">00:02:08</t>
  </si>
  <si>
    <t xml:space="preserve">00:02:09</t>
  </si>
  <si>
    <t xml:space="preserve">00:02:10</t>
  </si>
  <si>
    <t xml:space="preserve">00:02:13</t>
  </si>
  <si>
    <t xml:space="preserve">00:02:14</t>
  </si>
  <si>
    <t xml:space="preserve">00:02:16</t>
  </si>
  <si>
    <t xml:space="preserve">00:02:20</t>
  </si>
  <si>
    <t xml:space="preserve">00:02:21</t>
  </si>
  <si>
    <t xml:space="preserve">00:02:22</t>
  </si>
  <si>
    <t xml:space="preserve">00:02:23</t>
  </si>
  <si>
    <t xml:space="preserve">00:02:24</t>
  </si>
  <si>
    <t xml:space="preserve">00:02:25</t>
  </si>
  <si>
    <t xml:space="preserve">00:02:27</t>
  </si>
  <si>
    <t xml:space="preserve">00:02:30</t>
  </si>
  <si>
    <t xml:space="preserve">00:02:31</t>
  </si>
  <si>
    <t xml:space="preserve">00:02:32</t>
  </si>
  <si>
    <t xml:space="preserve">00:02:33</t>
  </si>
  <si>
    <t xml:space="preserve">00:02:34</t>
  </si>
  <si>
    <t xml:space="preserve">00:02:35</t>
  </si>
  <si>
    <t xml:space="preserve">00:02:36</t>
  </si>
  <si>
    <t xml:space="preserve">00:02:37</t>
  </si>
  <si>
    <t xml:space="preserve">00:02:38</t>
  </si>
  <si>
    <t xml:space="preserve">00:02:39</t>
  </si>
  <si>
    <t xml:space="preserve">00:02:40</t>
  </si>
  <si>
    <t xml:space="preserve">00:02:41</t>
  </si>
  <si>
    <t xml:space="preserve">00:02:42</t>
  </si>
  <si>
    <t xml:space="preserve">00:02:43</t>
  </si>
  <si>
    <t xml:space="preserve">00:02:44</t>
  </si>
  <si>
    <t xml:space="preserve">00:02:45</t>
  </si>
  <si>
    <t xml:space="preserve">00:02:46</t>
  </si>
  <si>
    <t xml:space="preserve">00:02:47</t>
  </si>
  <si>
    <t xml:space="preserve">00:02:48</t>
  </si>
  <si>
    <t xml:space="preserve">00:02:49</t>
  </si>
  <si>
    <t xml:space="preserve">00:02:50</t>
  </si>
  <si>
    <t xml:space="preserve">00:02:51</t>
  </si>
  <si>
    <t xml:space="preserve">00:02:52</t>
  </si>
  <si>
    <t xml:space="preserve">00:02:53</t>
  </si>
  <si>
    <t xml:space="preserve">00:02:56</t>
  </si>
  <si>
    <t xml:space="preserve">00:02:57</t>
  </si>
  <si>
    <t xml:space="preserve">00:02:58</t>
  </si>
  <si>
    <t xml:space="preserve">00:02:59</t>
  </si>
  <si>
    <t xml:space="preserve">00:03:00</t>
  </si>
  <si>
    <t xml:space="preserve">00:03:01</t>
  </si>
  <si>
    <t xml:space="preserve">00:03:02</t>
  </si>
  <si>
    <t xml:space="preserve">00:03:03</t>
  </si>
  <si>
    <t xml:space="preserve">00:03:04</t>
  </si>
  <si>
    <t xml:space="preserve">00:03:05</t>
  </si>
  <si>
    <t xml:space="preserve">00:03:06</t>
  </si>
  <si>
    <t xml:space="preserve">00:03:07</t>
  </si>
  <si>
    <t xml:space="preserve">00:03:08</t>
  </si>
  <si>
    <t xml:space="preserve">00:03:09</t>
  </si>
  <si>
    <t xml:space="preserve">00:03:10</t>
  </si>
  <si>
    <t xml:space="preserve">00:03:11</t>
  </si>
  <si>
    <t xml:space="preserve">00:03:12</t>
  </si>
  <si>
    <t xml:space="preserve">00:03:14</t>
  </si>
  <si>
    <t xml:space="preserve">00:03:15</t>
  </si>
  <si>
    <t xml:space="preserve">00:03:16</t>
  </si>
  <si>
    <t xml:space="preserve">00:03:17</t>
  </si>
  <si>
    <t xml:space="preserve">00:03:18</t>
  </si>
  <si>
    <t xml:space="preserve">00:03:19</t>
  </si>
  <si>
    <t xml:space="preserve">00:03:20</t>
  </si>
  <si>
    <t xml:space="preserve">00:03:21</t>
  </si>
  <si>
    <t xml:space="preserve">00:03:22</t>
  </si>
  <si>
    <t xml:space="preserve">00:03:23</t>
  </si>
  <si>
    <t xml:space="preserve">00:03:24</t>
  </si>
  <si>
    <t xml:space="preserve">00:03:26</t>
  </si>
  <si>
    <t xml:space="preserve">00:03:27</t>
  </si>
  <si>
    <t xml:space="preserve">00:03:28</t>
  </si>
  <si>
    <t xml:space="preserve">00:03:29</t>
  </si>
  <si>
    <t xml:space="preserve">00:03:31</t>
  </si>
  <si>
    <t xml:space="preserve">00:03:32</t>
  </si>
  <si>
    <t xml:space="preserve">00:03:33</t>
  </si>
  <si>
    <t xml:space="preserve">00:03:34</t>
  </si>
  <si>
    <t xml:space="preserve">00:03:35</t>
  </si>
  <si>
    <t xml:space="preserve">00:03:37</t>
  </si>
  <si>
    <t xml:space="preserve">00:03:38</t>
  </si>
  <si>
    <t xml:space="preserve">00:03:39</t>
  </si>
  <si>
    <t xml:space="preserve">00:03:41</t>
  </si>
  <si>
    <t xml:space="preserve">00:03:42</t>
  </si>
  <si>
    <t xml:space="preserve">00:03:44</t>
  </si>
  <si>
    <t xml:space="preserve">00:03:45</t>
  </si>
  <si>
    <t xml:space="preserve">00:03:46</t>
  </si>
  <si>
    <t xml:space="preserve">00:03:47</t>
  </si>
  <si>
    <t xml:space="preserve">00:03:48</t>
  </si>
  <si>
    <t xml:space="preserve">00:03:49</t>
  </si>
  <si>
    <t xml:space="preserve">00:03:50</t>
  </si>
  <si>
    <t xml:space="preserve">00:03:51</t>
  </si>
  <si>
    <t xml:space="preserve">00:03:52</t>
  </si>
  <si>
    <t xml:space="preserve">00:03:53</t>
  </si>
  <si>
    <t xml:space="preserve">00:03:54</t>
  </si>
  <si>
    <t xml:space="preserve">00:03:56</t>
  </si>
  <si>
    <t xml:space="preserve">00:03:57</t>
  </si>
  <si>
    <t xml:space="preserve">00:03:58</t>
  </si>
  <si>
    <t xml:space="preserve">00:03:59</t>
  </si>
  <si>
    <t xml:space="preserve">00:04:00</t>
  </si>
  <si>
    <t xml:space="preserve">00:04:02</t>
  </si>
  <si>
    <t xml:space="preserve">00:04:03</t>
  </si>
  <si>
    <t xml:space="preserve">00:04:04</t>
  </si>
  <si>
    <t xml:space="preserve">00:04:05</t>
  </si>
  <si>
    <t xml:space="preserve">00:04:06</t>
  </si>
  <si>
    <t xml:space="preserve">00:04:07</t>
  </si>
  <si>
    <t xml:space="preserve">00:04:08</t>
  </si>
  <si>
    <t xml:space="preserve">00:04:09</t>
  </si>
  <si>
    <t xml:space="preserve">00:04:10</t>
  </si>
  <si>
    <t xml:space="preserve">00:04:11</t>
  </si>
  <si>
    <t xml:space="preserve">00:04:12</t>
  </si>
  <si>
    <t xml:space="preserve">00:04:13</t>
  </si>
  <si>
    <t xml:space="preserve">00:04:14</t>
  </si>
  <si>
    <t xml:space="preserve">00:04:15</t>
  </si>
  <si>
    <t xml:space="preserve">00:04:16</t>
  </si>
  <si>
    <t xml:space="preserve">00:04:17</t>
  </si>
  <si>
    <t xml:space="preserve">00:04:18</t>
  </si>
  <si>
    <t xml:space="preserve">00:04:19</t>
  </si>
  <si>
    <t xml:space="preserve">00:04:20</t>
  </si>
  <si>
    <t xml:space="preserve">00:04:21</t>
  </si>
  <si>
    <t xml:space="preserve">00:04:22</t>
  </si>
  <si>
    <t xml:space="preserve">00:04:23</t>
  </si>
  <si>
    <t xml:space="preserve">00:04:24</t>
  </si>
  <si>
    <t xml:space="preserve">00:04:25</t>
  </si>
  <si>
    <t xml:space="preserve">00:04:26</t>
  </si>
  <si>
    <t xml:space="preserve">00:04:27</t>
  </si>
  <si>
    <t xml:space="preserve">00:04:28</t>
  </si>
  <si>
    <t xml:space="preserve">00:04:30</t>
  </si>
  <si>
    <t xml:space="preserve">00:04:31</t>
  </si>
  <si>
    <t xml:space="preserve">00:04:33</t>
  </si>
  <si>
    <t xml:space="preserve">00:04:34</t>
  </si>
  <si>
    <t xml:space="preserve">00:04:35</t>
  </si>
  <si>
    <t xml:space="preserve">00:04:36</t>
  </si>
  <si>
    <t xml:space="preserve">00:04:37</t>
  </si>
  <si>
    <t xml:space="preserve">00:04:38</t>
  </si>
  <si>
    <t xml:space="preserve">00:04:39</t>
  </si>
  <si>
    <t xml:space="preserve">00:04:40</t>
  </si>
  <si>
    <t xml:space="preserve">00:04:41</t>
  </si>
  <si>
    <t xml:space="preserve">00:04:42</t>
  </si>
  <si>
    <t xml:space="preserve">00:04:43</t>
  </si>
  <si>
    <t xml:space="preserve">00:04:44</t>
  </si>
  <si>
    <t xml:space="preserve">00:04:45</t>
  </si>
  <si>
    <t xml:space="preserve">00:04:46</t>
  </si>
  <si>
    <t xml:space="preserve">00:04:47</t>
  </si>
  <si>
    <t xml:space="preserve">00:04:48</t>
  </si>
  <si>
    <t xml:space="preserve">00:04:49</t>
  </si>
  <si>
    <t xml:space="preserve">00:04:50</t>
  </si>
  <si>
    <t xml:space="preserve">00:04:51</t>
  </si>
  <si>
    <t xml:space="preserve">00:04:52</t>
  </si>
  <si>
    <t xml:space="preserve">00:04:53</t>
  </si>
  <si>
    <t xml:space="preserve">00:04:54</t>
  </si>
  <si>
    <t xml:space="preserve">00:04:55</t>
  </si>
  <si>
    <t xml:space="preserve">00:04:56</t>
  </si>
  <si>
    <t xml:space="preserve">00:04:57</t>
  </si>
  <si>
    <t xml:space="preserve">00:04:58</t>
  </si>
  <si>
    <t xml:space="preserve">00:04:59</t>
  </si>
  <si>
    <t xml:space="preserve">00:05:00</t>
  </si>
  <si>
    <t xml:space="preserve">00:05:01</t>
  </si>
  <si>
    <t xml:space="preserve">00:05:03</t>
  </si>
  <si>
    <t xml:space="preserve">00:05:04</t>
  </si>
  <si>
    <t xml:space="preserve">00:05:05</t>
  </si>
  <si>
    <t xml:space="preserve">00:05:06</t>
  </si>
  <si>
    <t xml:space="preserve">00:05:07</t>
  </si>
  <si>
    <t xml:space="preserve">00:05:08</t>
  </si>
  <si>
    <t xml:space="preserve">00:05:09</t>
  </si>
  <si>
    <t xml:space="preserve">00:05:10</t>
  </si>
  <si>
    <t xml:space="preserve">00:05:11</t>
  </si>
  <si>
    <t xml:space="preserve">00:05:12</t>
  </si>
  <si>
    <t xml:space="preserve">00:05:13</t>
  </si>
  <si>
    <t xml:space="preserve">00:05:15</t>
  </si>
  <si>
    <t xml:space="preserve">00:05:16</t>
  </si>
  <si>
    <t xml:space="preserve">00:05:17</t>
  </si>
  <si>
    <t xml:space="preserve">00:05:18</t>
  </si>
  <si>
    <t xml:space="preserve">00:05:19</t>
  </si>
  <si>
    <t xml:space="preserve">00:05:20</t>
  </si>
  <si>
    <t xml:space="preserve">00:05:21</t>
  </si>
  <si>
    <t xml:space="preserve">00:05:22</t>
  </si>
  <si>
    <t xml:space="preserve">00:05:23</t>
  </si>
  <si>
    <t xml:space="preserve">00:05:24</t>
  </si>
  <si>
    <t xml:space="preserve">00:05:25</t>
  </si>
  <si>
    <t xml:space="preserve">00:05:26</t>
  </si>
  <si>
    <t xml:space="preserve">00:05:27</t>
  </si>
  <si>
    <t xml:space="preserve">00:05:28</t>
  </si>
  <si>
    <t xml:space="preserve">00:05:30</t>
  </si>
  <si>
    <t xml:space="preserve">00:05:31</t>
  </si>
  <si>
    <t xml:space="preserve">00:05:32</t>
  </si>
  <si>
    <t xml:space="preserve">00:05:33</t>
  </si>
  <si>
    <t xml:space="preserve">00:05:34</t>
  </si>
  <si>
    <t xml:space="preserve">00:05:35</t>
  </si>
  <si>
    <t xml:space="preserve">00:05:37</t>
  </si>
  <si>
    <t xml:space="preserve">00:05:38</t>
  </si>
  <si>
    <t xml:space="preserve">00:05:39</t>
  </si>
  <si>
    <t xml:space="preserve">00:05:40</t>
  </si>
  <si>
    <t xml:space="preserve">00:05:41</t>
  </si>
  <si>
    <t xml:space="preserve">00:05:42</t>
  </si>
  <si>
    <t xml:space="preserve">00:05:43</t>
  </si>
  <si>
    <t xml:space="preserve">00:05:44</t>
  </si>
  <si>
    <t xml:space="preserve">00:05:45</t>
  </si>
  <si>
    <t xml:space="preserve">00:05:46</t>
  </si>
  <si>
    <t xml:space="preserve">00:05:47</t>
  </si>
  <si>
    <t xml:space="preserve">00:05:48</t>
  </si>
  <si>
    <t xml:space="preserve">00:05:49</t>
  </si>
  <si>
    <t xml:space="preserve">00:05:50</t>
  </si>
  <si>
    <t xml:space="preserve">00:05:51</t>
  </si>
  <si>
    <t xml:space="preserve">00:05:52</t>
  </si>
  <si>
    <t xml:space="preserve">00:05:53</t>
  </si>
  <si>
    <t xml:space="preserve">00:05:54</t>
  </si>
  <si>
    <t xml:space="preserve">00:05:55</t>
  </si>
  <si>
    <t xml:space="preserve">00:05:56</t>
  </si>
  <si>
    <t xml:space="preserve">00:05:57</t>
  </si>
  <si>
    <t xml:space="preserve">00:05:58</t>
  </si>
  <si>
    <t xml:space="preserve">00:05:59</t>
  </si>
  <si>
    <t xml:space="preserve">00:06:00</t>
  </si>
  <si>
    <t xml:space="preserve">00:06:01</t>
  </si>
  <si>
    <t xml:space="preserve">00:06:02</t>
  </si>
  <si>
    <t xml:space="preserve">00:06:03</t>
  </si>
  <si>
    <t xml:space="preserve">00:06:04</t>
  </si>
  <si>
    <t xml:space="preserve">00:06:05</t>
  </si>
  <si>
    <t xml:space="preserve">00:06:07</t>
  </si>
  <si>
    <t xml:space="preserve">00:06:08</t>
  </si>
  <si>
    <t xml:space="preserve">00:06:09</t>
  </si>
  <si>
    <t xml:space="preserve">00:06:10</t>
  </si>
  <si>
    <t xml:space="preserve">00:06:11</t>
  </si>
  <si>
    <t xml:space="preserve">00:06:12</t>
  </si>
  <si>
    <t xml:space="preserve">00:06:13</t>
  </si>
  <si>
    <t xml:space="preserve">00:06:14</t>
  </si>
  <si>
    <t xml:space="preserve">00:06:16</t>
  </si>
  <si>
    <t xml:space="preserve">00:06:17</t>
  </si>
  <si>
    <t xml:space="preserve">00:06:18</t>
  </si>
  <si>
    <t xml:space="preserve">00:06:19</t>
  </si>
  <si>
    <t xml:space="preserve">00:06:20</t>
  </si>
  <si>
    <t xml:space="preserve">00:06:21</t>
  </si>
  <si>
    <t xml:space="preserve">00:06:23</t>
  </si>
  <si>
    <t xml:space="preserve">00:06:24</t>
  </si>
  <si>
    <t xml:space="preserve">00:06:25</t>
  </si>
  <si>
    <t xml:space="preserve">00:06:26</t>
  </si>
  <si>
    <t xml:space="preserve">00:06:27</t>
  </si>
  <si>
    <t xml:space="preserve">00:06:28</t>
  </si>
  <si>
    <t xml:space="preserve">00:06:30</t>
  </si>
  <si>
    <t xml:space="preserve">00:06:31</t>
  </si>
  <si>
    <t xml:space="preserve">00:06:32</t>
  </si>
  <si>
    <t xml:space="preserve">00:06:33</t>
  </si>
  <si>
    <t xml:space="preserve">00:06:34</t>
  </si>
  <si>
    <t xml:space="preserve">00:06:35</t>
  </si>
  <si>
    <t xml:space="preserve">00:06:36</t>
  </si>
  <si>
    <t xml:space="preserve">00:06:37</t>
  </si>
  <si>
    <t xml:space="preserve">00:06:38</t>
  </si>
  <si>
    <t xml:space="preserve">00:06:39</t>
  </si>
  <si>
    <t xml:space="preserve">00:06:40</t>
  </si>
  <si>
    <t xml:space="preserve">00:06:41</t>
  </si>
  <si>
    <t xml:space="preserve">00:06:42</t>
  </si>
  <si>
    <t xml:space="preserve">00:06:43</t>
  </si>
  <si>
    <t xml:space="preserve">00:06:44</t>
  </si>
  <si>
    <t xml:space="preserve">00:06:45</t>
  </si>
  <si>
    <t xml:space="preserve">00:06:46</t>
  </si>
  <si>
    <t xml:space="preserve">00:06:47</t>
  </si>
  <si>
    <t xml:space="preserve">00:06:48</t>
  </si>
  <si>
    <t xml:space="preserve">00:06:50</t>
  </si>
  <si>
    <t xml:space="preserve">00:06:52</t>
  </si>
  <si>
    <t xml:space="preserve">00:06:53</t>
  </si>
  <si>
    <t xml:space="preserve">00:06:54</t>
  </si>
  <si>
    <t xml:space="preserve">00:06:55</t>
  </si>
  <si>
    <t xml:space="preserve">00:06:56</t>
  </si>
  <si>
    <t xml:space="preserve">00:06:57</t>
  </si>
  <si>
    <t xml:space="preserve">00:06:58</t>
  </si>
  <si>
    <t xml:space="preserve">00:06:59</t>
  </si>
  <si>
    <t xml:space="preserve">00:07:00</t>
  </si>
  <si>
    <t xml:space="preserve">00:07:01</t>
  </si>
  <si>
    <t xml:space="preserve">00:07:04</t>
  </si>
  <si>
    <t xml:space="preserve">00:07:07</t>
  </si>
  <si>
    <t xml:space="preserve">00:07:08</t>
  </si>
  <si>
    <t xml:space="preserve">00:07:10</t>
  </si>
  <si>
    <t xml:space="preserve">00:07:13</t>
  </si>
  <si>
    <t xml:space="preserve">00:07:14</t>
  </si>
  <si>
    <t xml:space="preserve">00:07:15</t>
  </si>
  <si>
    <t xml:space="preserve">00:07:19</t>
  </si>
  <si>
    <t xml:space="preserve">00:07:22</t>
  </si>
  <si>
    <t xml:space="preserve">00:07:25</t>
  </si>
  <si>
    <t xml:space="preserve">00:07:26</t>
  </si>
  <si>
    <t xml:space="preserve">00:07:27</t>
  </si>
  <si>
    <t xml:space="preserve">00:07:28</t>
  </si>
  <si>
    <t xml:space="preserve">00:07:29</t>
  </si>
  <si>
    <t xml:space="preserve">00:07:30</t>
  </si>
  <si>
    <t xml:space="preserve">00:07:31</t>
  </si>
  <si>
    <t xml:space="preserve">00:07:33</t>
  </si>
  <si>
    <t xml:space="preserve">00:07:34</t>
  </si>
  <si>
    <t xml:space="preserve">00:07:35</t>
  </si>
  <si>
    <t xml:space="preserve">00:07:36</t>
  </si>
  <si>
    <t xml:space="preserve">00:07:38</t>
  </si>
  <si>
    <t xml:space="preserve">00:07:39</t>
  </si>
  <si>
    <t xml:space="preserve">00:07:40</t>
  </si>
  <si>
    <t xml:space="preserve">00:07:41</t>
  </si>
  <si>
    <t xml:space="preserve">00:07:42</t>
  </si>
  <si>
    <t xml:space="preserve">00:07:43</t>
  </si>
  <si>
    <t xml:space="preserve">00:07:44</t>
  </si>
  <si>
    <t xml:space="preserve">00:07:45</t>
  </si>
  <si>
    <t xml:space="preserve">00:07:46</t>
  </si>
  <si>
    <t xml:space="preserve">00:07:47</t>
  </si>
  <si>
    <t xml:space="preserve">00:07:48</t>
  </si>
  <si>
    <t xml:space="preserve">00:07:49</t>
  </si>
  <si>
    <t xml:space="preserve">00:07:50</t>
  </si>
  <si>
    <t xml:space="preserve">00:07:51</t>
  </si>
  <si>
    <t xml:space="preserve">00:07:52</t>
  </si>
  <si>
    <t xml:space="preserve">00:07:53</t>
  </si>
  <si>
    <t xml:space="preserve">00:07:54</t>
  </si>
  <si>
    <t xml:space="preserve">00:07:55</t>
  </si>
  <si>
    <t xml:space="preserve">00:07:56</t>
  </si>
  <si>
    <t xml:space="preserve">00:07:57</t>
  </si>
  <si>
    <t xml:space="preserve">00:07:58</t>
  </si>
  <si>
    <t xml:space="preserve">00:07:59</t>
  </si>
  <si>
    <t xml:space="preserve">00:08:00</t>
  </si>
  <si>
    <t xml:space="preserve">00:08:01</t>
  </si>
  <si>
    <t xml:space="preserve">00:08:02</t>
  </si>
  <si>
    <t xml:space="preserve">00:08:03</t>
  </si>
  <si>
    <t xml:space="preserve">00:08:04</t>
  </si>
  <si>
    <t xml:space="preserve">00:08:05</t>
  </si>
  <si>
    <t xml:space="preserve">00:08:06</t>
  </si>
  <si>
    <t xml:space="preserve">00:08:08</t>
  </si>
  <si>
    <t xml:space="preserve">00:08:09</t>
  </si>
  <si>
    <t xml:space="preserve">00:08:10</t>
  </si>
  <si>
    <t xml:space="preserve">00:08:11</t>
  </si>
  <si>
    <t xml:space="preserve">00:08:12</t>
  </si>
  <si>
    <t xml:space="preserve">00:08:13</t>
  </si>
  <si>
    <t xml:space="preserve">00:08:14</t>
  </si>
  <si>
    <t xml:space="preserve">00:08:15</t>
  </si>
  <si>
    <t xml:space="preserve">00:08:16</t>
  </si>
  <si>
    <t xml:space="preserve">00:08:17</t>
  </si>
  <si>
    <t xml:space="preserve">00:08:20</t>
  </si>
  <si>
    <t xml:space="preserve">00:08:21</t>
  </si>
  <si>
    <t xml:space="preserve">00:08:22</t>
  </si>
  <si>
    <t xml:space="preserve">00:08:23</t>
  </si>
  <si>
    <t xml:space="preserve">00:08:24</t>
  </si>
  <si>
    <t xml:space="preserve">00:08:25</t>
  </si>
  <si>
    <t xml:space="preserve">00:08:26</t>
  </si>
  <si>
    <t xml:space="preserve">00:08:27</t>
  </si>
  <si>
    <t xml:space="preserve">00:08:28</t>
  </si>
  <si>
    <t xml:space="preserve">00:08:29</t>
  </si>
  <si>
    <t xml:space="preserve">00:08:30</t>
  </si>
  <si>
    <t xml:space="preserve">00:08:31</t>
  </si>
  <si>
    <t xml:space="preserve">00:08:32</t>
  </si>
  <si>
    <t xml:space="preserve">00:08:33</t>
  </si>
  <si>
    <t xml:space="preserve">00:08:34</t>
  </si>
  <si>
    <t xml:space="preserve">00:08:35</t>
  </si>
  <si>
    <t xml:space="preserve">00:08:36</t>
  </si>
  <si>
    <t xml:space="preserve">00:08:37</t>
  </si>
  <si>
    <t xml:space="preserve">00:08:38</t>
  </si>
  <si>
    <t xml:space="preserve">00:08:39</t>
  </si>
  <si>
    <t xml:space="preserve">00:08:40</t>
  </si>
  <si>
    <t xml:space="preserve">00:08:41</t>
  </si>
  <si>
    <t xml:space="preserve">00:08:42</t>
  </si>
  <si>
    <t xml:space="preserve">00:08:43</t>
  </si>
  <si>
    <t xml:space="preserve">00:08:44</t>
  </si>
  <si>
    <t xml:space="preserve">00:08:45</t>
  </si>
  <si>
    <t xml:space="preserve">00:08:46</t>
  </si>
  <si>
    <t xml:space="preserve">00:08:47</t>
  </si>
  <si>
    <t xml:space="preserve">00:08:48</t>
  </si>
  <si>
    <t xml:space="preserve">00:08:52</t>
  </si>
  <si>
    <t xml:space="preserve">00:08:53</t>
  </si>
  <si>
    <t xml:space="preserve">00:08:54</t>
  </si>
  <si>
    <t xml:space="preserve">00:08:55</t>
  </si>
  <si>
    <t xml:space="preserve">00:08:56</t>
  </si>
  <si>
    <t xml:space="preserve">00:08:58</t>
  </si>
  <si>
    <t xml:space="preserve">00:08:59</t>
  </si>
  <si>
    <t xml:space="preserve">00:09:00</t>
  </si>
  <si>
    <t xml:space="preserve">00:09:01</t>
  </si>
  <si>
    <t xml:space="preserve">00:09:02</t>
  </si>
  <si>
    <t xml:space="preserve">00:09:03</t>
  </si>
  <si>
    <t xml:space="preserve">00:09:04</t>
  </si>
  <si>
    <t xml:space="preserve">00:09:05</t>
  </si>
  <si>
    <t xml:space="preserve">00:09:06</t>
  </si>
  <si>
    <t xml:space="preserve">00:09:07</t>
  </si>
  <si>
    <t xml:space="preserve">00:09:08</t>
  </si>
  <si>
    <t xml:space="preserve">00:09:09</t>
  </si>
  <si>
    <t xml:space="preserve">00:09:10</t>
  </si>
  <si>
    <t xml:space="preserve">00:09:11</t>
  </si>
  <si>
    <t xml:space="preserve">00:09:13</t>
  </si>
  <si>
    <t xml:space="preserve">00:09:14</t>
  </si>
  <si>
    <t xml:space="preserve">00:09:15</t>
  </si>
  <si>
    <t xml:space="preserve">00:09:16</t>
  </si>
  <si>
    <t xml:space="preserve">00:09:17</t>
  </si>
  <si>
    <t xml:space="preserve">00:09:18</t>
  </si>
  <si>
    <t xml:space="preserve">00:09:19</t>
  </si>
  <si>
    <t xml:space="preserve">00:09:20</t>
  </si>
  <si>
    <t xml:space="preserve">00:09:21</t>
  </si>
  <si>
    <t xml:space="preserve">00:09:22</t>
  </si>
  <si>
    <t xml:space="preserve">00:09:23</t>
  </si>
  <si>
    <t xml:space="preserve">00:09:24</t>
  </si>
  <si>
    <t xml:space="preserve">00:09:25</t>
  </si>
  <si>
    <t xml:space="preserve">00:09:26</t>
  </si>
  <si>
    <t xml:space="preserve">00:09:27</t>
  </si>
  <si>
    <t xml:space="preserve">00:09:28</t>
  </si>
  <si>
    <t xml:space="preserve">00:09:29</t>
  </si>
  <si>
    <t xml:space="preserve">00:09:30</t>
  </si>
  <si>
    <t xml:space="preserve">00:09:31</t>
  </si>
  <si>
    <t xml:space="preserve">00:09:32</t>
  </si>
  <si>
    <t xml:space="preserve">00:09:33</t>
  </si>
  <si>
    <t xml:space="preserve">00:09:34</t>
  </si>
  <si>
    <t xml:space="preserve">00:09:35</t>
  </si>
  <si>
    <t xml:space="preserve">00:09:36</t>
  </si>
  <si>
    <t xml:space="preserve">00:09:37</t>
  </si>
  <si>
    <t xml:space="preserve">00:09:38</t>
  </si>
  <si>
    <t xml:space="preserve">00:09:39</t>
  </si>
  <si>
    <t xml:space="preserve">00:09:40</t>
  </si>
  <si>
    <t xml:space="preserve">00:09:41</t>
  </si>
  <si>
    <t xml:space="preserve">00:09:42</t>
  </si>
  <si>
    <t xml:space="preserve">00:09:43</t>
  </si>
  <si>
    <t xml:space="preserve">00:09:44</t>
  </si>
  <si>
    <t xml:space="preserve">00:09:45</t>
  </si>
  <si>
    <t xml:space="preserve">00:09:46</t>
  </si>
  <si>
    <t xml:space="preserve">00:09:47</t>
  </si>
  <si>
    <t xml:space="preserve">00:09:48</t>
  </si>
  <si>
    <t xml:space="preserve">00:09:49</t>
  </si>
  <si>
    <t xml:space="preserve">00:09:50</t>
  </si>
  <si>
    <t xml:space="preserve">00:09:51</t>
  </si>
  <si>
    <t xml:space="preserve">00:09:52</t>
  </si>
  <si>
    <t xml:space="preserve">00:09:53</t>
  </si>
  <si>
    <t xml:space="preserve">00:09:54</t>
  </si>
  <si>
    <t xml:space="preserve">00:09:55</t>
  </si>
  <si>
    <t xml:space="preserve">00:09:56</t>
  </si>
  <si>
    <t xml:space="preserve">00:09:57</t>
  </si>
  <si>
    <t xml:space="preserve">00:09:58</t>
  </si>
  <si>
    <t xml:space="preserve">00:09:59</t>
  </si>
  <si>
    <t xml:space="preserve">00:10:00</t>
  </si>
  <si>
    <t xml:space="preserve">00:10:02</t>
  </si>
  <si>
    <t xml:space="preserve">00:10:03</t>
  </si>
  <si>
    <t xml:space="preserve">00:10:04</t>
  </si>
  <si>
    <t xml:space="preserve">00:10:05</t>
  </si>
  <si>
    <t xml:space="preserve">00:10:06</t>
  </si>
  <si>
    <t xml:space="preserve">00:10:07</t>
  </si>
  <si>
    <t xml:space="preserve">00:10:08</t>
  </si>
  <si>
    <t xml:space="preserve">00:10:09</t>
  </si>
  <si>
    <t xml:space="preserve">00:10:10</t>
  </si>
  <si>
    <t xml:space="preserve">00:10:11</t>
  </si>
  <si>
    <t xml:space="preserve">00:10:12</t>
  </si>
  <si>
    <t xml:space="preserve">00:10:13</t>
  </si>
  <si>
    <t xml:space="preserve">00:10:14</t>
  </si>
  <si>
    <t xml:space="preserve">00:10:15</t>
  </si>
  <si>
    <t xml:space="preserve">00:10:17</t>
  </si>
  <si>
    <t xml:space="preserve">00:10:18</t>
  </si>
  <si>
    <t xml:space="preserve">00:10:19</t>
  </si>
  <si>
    <t xml:space="preserve">00:10:20</t>
  </si>
  <si>
    <t xml:space="preserve">00:10:21</t>
  </si>
  <si>
    <t xml:space="preserve">00:10:22</t>
  </si>
  <si>
    <t xml:space="preserve">00:10:23</t>
  </si>
  <si>
    <t xml:space="preserve">00:10:24</t>
  </si>
  <si>
    <t xml:space="preserve">00:10:25</t>
  </si>
  <si>
    <t xml:space="preserve">00:10:26</t>
  </si>
  <si>
    <t xml:space="preserve">00:10:27</t>
  </si>
  <si>
    <t xml:space="preserve">00:10:28</t>
  </si>
  <si>
    <t xml:space="preserve">00:10:29</t>
  </si>
  <si>
    <t xml:space="preserve">00:10:30</t>
  </si>
  <si>
    <t xml:space="preserve">00:10:31</t>
  </si>
  <si>
    <t xml:space="preserve">00:10:32</t>
  </si>
  <si>
    <t xml:space="preserve">00:10:33</t>
  </si>
  <si>
    <t xml:space="preserve">00:10:34</t>
  </si>
  <si>
    <t xml:space="preserve">00:10:35</t>
  </si>
  <si>
    <t xml:space="preserve">00:10:37</t>
  </si>
  <si>
    <t xml:space="preserve">00:10:38</t>
  </si>
  <si>
    <t xml:space="preserve">00:10:40</t>
  </si>
  <si>
    <t xml:space="preserve">00:10:41</t>
  </si>
  <si>
    <t xml:space="preserve">00:10:42</t>
  </si>
  <si>
    <t xml:space="preserve">00:10:43</t>
  </si>
  <si>
    <t xml:space="preserve">00:10:44</t>
  </si>
  <si>
    <t xml:space="preserve">00:10:45</t>
  </si>
  <si>
    <t xml:space="preserve">00:10:46</t>
  </si>
  <si>
    <t xml:space="preserve">00:10:47</t>
  </si>
  <si>
    <t xml:space="preserve">00:10:48</t>
  </si>
  <si>
    <t xml:space="preserve">00:10:49</t>
  </si>
  <si>
    <t xml:space="preserve">00:10:50</t>
  </si>
  <si>
    <t xml:space="preserve">00:10:51</t>
  </si>
  <si>
    <t xml:space="preserve">00:10:52</t>
  </si>
  <si>
    <t xml:space="preserve">00:10:53</t>
  </si>
  <si>
    <t xml:space="preserve">00:10:54</t>
  </si>
  <si>
    <t xml:space="preserve">00:10:55</t>
  </si>
  <si>
    <t xml:space="preserve">00:10:56</t>
  </si>
  <si>
    <t xml:space="preserve">00:10:57</t>
  </si>
  <si>
    <t xml:space="preserve">00:10:58</t>
  </si>
  <si>
    <t xml:space="preserve">00:10:59</t>
  </si>
  <si>
    <t xml:space="preserve">00:11:00</t>
  </si>
  <si>
    <t xml:space="preserve">00:11:01</t>
  </si>
  <si>
    <t xml:space="preserve">00:11:02</t>
  </si>
  <si>
    <t xml:space="preserve">00:11:04</t>
  </si>
  <si>
    <t xml:space="preserve">00:11:05</t>
  </si>
  <si>
    <t xml:space="preserve">00:11:06</t>
  </si>
  <si>
    <t xml:space="preserve">00:11:07</t>
  </si>
  <si>
    <t xml:space="preserve">00:11:08</t>
  </si>
  <si>
    <t xml:space="preserve">00:11:09</t>
  </si>
  <si>
    <t xml:space="preserve">00:11:10</t>
  </si>
  <si>
    <t xml:space="preserve">00:11:11</t>
  </si>
  <si>
    <t xml:space="preserve">00:11:12</t>
  </si>
  <si>
    <t xml:space="preserve">00:11:13</t>
  </si>
  <si>
    <t xml:space="preserve">00:11:14</t>
  </si>
  <si>
    <t xml:space="preserve">00:11:15</t>
  </si>
  <si>
    <t xml:space="preserve">00:11:16</t>
  </si>
  <si>
    <t xml:space="preserve">00:11:17</t>
  </si>
  <si>
    <t xml:space="preserve">00:11:21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</si>
</sst>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hh:mm:ss"/>
    <numFmt numFmtId="166" formatCode="0.00"/>
    <numFmt numFmtId="167" formatCode="0.0000000"/>
    <numFmt numFmtId="168" formatCode="hh:mm:ss.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8B855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Висота від часу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"Висота від часу"</c:f>
              <c:strCache>
                <c:ptCount val="1"/>
                <c:pt idx="0">
                  <c:v>Висота від часу</c:v>
                </c:pt>
              </c:strCache>
            </c:strRef>
          </c:tx>
          <c:spPr>
            <a:solidFill>
              <a:srgbClr val="98b855"/>
            </a:solidFill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CSV_QGC!$N$2:$N$661</c:f>
              <c:numCache>
                <c:formatCode>General</c:formatCode>
                <c:ptCount val="660"/>
                <c:pt idx="0">
                  <c:v>0</c:v>
                </c:pt>
                <c:pt idx="1">
                  <c:v>0.990999955</c:v>
                </c:pt>
                <c:pt idx="2">
                  <c:v>1.948999939</c:v>
                </c:pt>
                <c:pt idx="3">
                  <c:v>2.932000416</c:v>
                </c:pt>
                <c:pt idx="4">
                  <c:v>3.951999661</c:v>
                </c:pt>
                <c:pt idx="5">
                  <c:v>4.942000075</c:v>
                </c:pt>
                <c:pt idx="6">
                  <c:v>5.94299985</c:v>
                </c:pt>
                <c:pt idx="7">
                  <c:v>6.928999582</c:v>
                </c:pt>
                <c:pt idx="8">
                  <c:v>7.954999851</c:v>
                </c:pt>
                <c:pt idx="9">
                  <c:v>8.936999528</c:v>
                </c:pt>
                <c:pt idx="10">
                  <c:v>9.947999753</c:v>
                </c:pt>
                <c:pt idx="11">
                  <c:v>10.950999869</c:v>
                </c:pt>
                <c:pt idx="12">
                  <c:v>11.962999636</c:v>
                </c:pt>
                <c:pt idx="13">
                  <c:v>12.936999835</c:v>
                </c:pt>
                <c:pt idx="14">
                  <c:v>13.950999942</c:v>
                </c:pt>
                <c:pt idx="15">
                  <c:v>14.962000166</c:v>
                </c:pt>
                <c:pt idx="16">
                  <c:v>15.953999664</c:v>
                </c:pt>
                <c:pt idx="17">
                  <c:v>19.063000101</c:v>
                </c:pt>
                <c:pt idx="18">
                  <c:v>21.694000088</c:v>
                </c:pt>
                <c:pt idx="19">
                  <c:v>24.413</c:v>
                </c:pt>
                <c:pt idx="20">
                  <c:v>25.434999587</c:v>
                </c:pt>
                <c:pt idx="21">
                  <c:v>26.644999184</c:v>
                </c:pt>
                <c:pt idx="22">
                  <c:v>27.531000087</c:v>
                </c:pt>
                <c:pt idx="23">
                  <c:v>28.474000026</c:v>
                </c:pt>
                <c:pt idx="24">
                  <c:v>29.56699978</c:v>
                </c:pt>
                <c:pt idx="25">
                  <c:v>30.511000519</c:v>
                </c:pt>
                <c:pt idx="26">
                  <c:v>31.496999622</c:v>
                </c:pt>
                <c:pt idx="27">
                  <c:v>32.603999879</c:v>
                </c:pt>
                <c:pt idx="28">
                  <c:v>33.453999669</c:v>
                </c:pt>
                <c:pt idx="29">
                  <c:v>34.463999723</c:v>
                </c:pt>
                <c:pt idx="30">
                  <c:v>35.594000131</c:v>
                </c:pt>
                <c:pt idx="31">
                  <c:v>36.463000648</c:v>
                </c:pt>
                <c:pt idx="32">
                  <c:v>37.486999947</c:v>
                </c:pt>
                <c:pt idx="33">
                  <c:v>38.487999723</c:v>
                </c:pt>
                <c:pt idx="34">
                  <c:v>39.474999625</c:v>
                </c:pt>
                <c:pt idx="35">
                  <c:v>40.49699984</c:v>
                </c:pt>
                <c:pt idx="36">
                  <c:v>41.449000057</c:v>
                </c:pt>
                <c:pt idx="37">
                  <c:v>42.46699959</c:v>
                </c:pt>
                <c:pt idx="38">
                  <c:v>43.477999814</c:v>
                </c:pt>
                <c:pt idx="39">
                  <c:v>44.44900013</c:v>
                </c:pt>
                <c:pt idx="40">
                  <c:v>45.451999618</c:v>
                </c:pt>
                <c:pt idx="41">
                  <c:v>46.462999214</c:v>
                </c:pt>
                <c:pt idx="42">
                  <c:v>47.479999833</c:v>
                </c:pt>
                <c:pt idx="43">
                  <c:v>48.492999142</c:v>
                </c:pt>
                <c:pt idx="44">
                  <c:v>49.46699934</c:v>
                </c:pt>
                <c:pt idx="45">
                  <c:v>50.529000093</c:v>
                </c:pt>
                <c:pt idx="46">
                  <c:v>51.481999852</c:v>
                </c:pt>
                <c:pt idx="47">
                  <c:v>52.519999654</c:v>
                </c:pt>
                <c:pt idx="48">
                  <c:v>53.488000086</c:v>
                </c:pt>
                <c:pt idx="49">
                  <c:v>54.457998974</c:v>
                </c:pt>
                <c:pt idx="50">
                  <c:v>55.518000014</c:v>
                </c:pt>
                <c:pt idx="51">
                  <c:v>56.544999824</c:v>
                </c:pt>
                <c:pt idx="52">
                  <c:v>57.480999827</c:v>
                </c:pt>
                <c:pt idx="53">
                  <c:v>58.45799928</c:v>
                </c:pt>
                <c:pt idx="54">
                  <c:v>59.447999065</c:v>
                </c:pt>
                <c:pt idx="55">
                  <c:v>60.473999963</c:v>
                </c:pt>
                <c:pt idx="56">
                  <c:v>61.449999874</c:v>
                </c:pt>
                <c:pt idx="57">
                  <c:v>62.446000054</c:v>
                </c:pt>
                <c:pt idx="58">
                  <c:v>63.451000512</c:v>
                </c:pt>
                <c:pt idx="59">
                  <c:v>64.451000117</c:v>
                </c:pt>
                <c:pt idx="60">
                  <c:v>65.476999757</c:v>
                </c:pt>
                <c:pt idx="61">
                  <c:v>66.463999659</c:v>
                </c:pt>
                <c:pt idx="62">
                  <c:v>67.469000117</c:v>
                </c:pt>
                <c:pt idx="63">
                  <c:v>68.493000045</c:v>
                </c:pt>
                <c:pt idx="64">
                  <c:v>69.467999786</c:v>
                </c:pt>
                <c:pt idx="65">
                  <c:v>70.471000531</c:v>
                </c:pt>
                <c:pt idx="66">
                  <c:v>71.492000576</c:v>
                </c:pt>
                <c:pt idx="67">
                  <c:v>72.45899958</c:v>
                </c:pt>
                <c:pt idx="68">
                  <c:v>73.459999356</c:v>
                </c:pt>
                <c:pt idx="69">
                  <c:v>74.448000057</c:v>
                </c:pt>
                <c:pt idx="70">
                  <c:v>75.452999887</c:v>
                </c:pt>
                <c:pt idx="71">
                  <c:v>76.439999788</c:v>
                </c:pt>
                <c:pt idx="72">
                  <c:v>77.457000408</c:v>
                </c:pt>
                <c:pt idx="73">
                  <c:v>78.488999814</c:v>
                </c:pt>
                <c:pt idx="74">
                  <c:v>79.478000057</c:v>
                </c:pt>
                <c:pt idx="75">
                  <c:v>80.506000039</c:v>
                </c:pt>
                <c:pt idx="76">
                  <c:v>81.461999681</c:v>
                </c:pt>
                <c:pt idx="77">
                  <c:v>82.470999564</c:v>
                </c:pt>
                <c:pt idx="78">
                  <c:v>83.490000525</c:v>
                </c:pt>
                <c:pt idx="79">
                  <c:v>84.465999808</c:v>
                </c:pt>
                <c:pt idx="80">
                  <c:v>85.444999602</c:v>
                </c:pt>
                <c:pt idx="81">
                  <c:v>86.469000787</c:v>
                </c:pt>
                <c:pt idx="82">
                  <c:v>87.473999988</c:v>
                </c:pt>
                <c:pt idx="83">
                  <c:v>88.473999593</c:v>
                </c:pt>
                <c:pt idx="84">
                  <c:v>89.465999719</c:v>
                </c:pt>
                <c:pt idx="85">
                  <c:v>90.48500068</c:v>
                </c:pt>
                <c:pt idx="86">
                  <c:v>91.478999261</c:v>
                </c:pt>
                <c:pt idx="87">
                  <c:v>92.450999747</c:v>
                </c:pt>
                <c:pt idx="88">
                  <c:v>93.475999846</c:v>
                </c:pt>
                <c:pt idx="89">
                  <c:v>94.483999558</c:v>
                </c:pt>
                <c:pt idx="90">
                  <c:v>95.493999612</c:v>
                </c:pt>
                <c:pt idx="91">
                  <c:v>96.473999577</c:v>
                </c:pt>
                <c:pt idx="92">
                  <c:v>97.443999093</c:v>
                </c:pt>
                <c:pt idx="93">
                  <c:v>98.486999748</c:v>
                </c:pt>
                <c:pt idx="94">
                  <c:v>99.477000162</c:v>
                </c:pt>
                <c:pt idx="95">
                  <c:v>100.660999724</c:v>
                </c:pt>
                <c:pt idx="96">
                  <c:v>101.453999849</c:v>
                </c:pt>
                <c:pt idx="97">
                  <c:v>102.48199983</c:v>
                </c:pt>
                <c:pt idx="98">
                  <c:v>103.467000648</c:v>
                </c:pt>
                <c:pt idx="99">
                  <c:v>104.464999912</c:v>
                </c:pt>
                <c:pt idx="100">
                  <c:v>105.461000092</c:v>
                </c:pt>
                <c:pt idx="101">
                  <c:v>106.467999634</c:v>
                </c:pt>
                <c:pt idx="102">
                  <c:v>107.458000676</c:v>
                </c:pt>
                <c:pt idx="103">
                  <c:v>108.439999725</c:v>
                </c:pt>
                <c:pt idx="104">
                  <c:v>109.489000146</c:v>
                </c:pt>
                <c:pt idx="105">
                  <c:v>110.482999985</c:v>
                </c:pt>
                <c:pt idx="106">
                  <c:v>111.46199915</c:v>
                </c:pt>
                <c:pt idx="107">
                  <c:v>112.455999618</c:v>
                </c:pt>
                <c:pt idx="108">
                  <c:v>113.473000237</c:v>
                </c:pt>
                <c:pt idx="109">
                  <c:v>114.456998999</c:v>
                </c:pt>
                <c:pt idx="110">
                  <c:v>115.470999735</c:v>
                </c:pt>
                <c:pt idx="111">
                  <c:v>116.533000487</c:v>
                </c:pt>
                <c:pt idx="112">
                  <c:v>117.476999969</c:v>
                </c:pt>
                <c:pt idx="113">
                  <c:v>118.441999889</c:v>
                </c:pt>
                <c:pt idx="114">
                  <c:v>119.468000787</c:v>
                </c:pt>
                <c:pt idx="115">
                  <c:v>120.485999691</c:v>
                </c:pt>
                <c:pt idx="116">
                  <c:v>121.439998992</c:v>
                </c:pt>
                <c:pt idx="117">
                  <c:v>122.460999037</c:v>
                </c:pt>
                <c:pt idx="118">
                  <c:v>123.450000537</c:v>
                </c:pt>
                <c:pt idx="119">
                  <c:v>124.491999763</c:v>
                </c:pt>
                <c:pt idx="120">
                  <c:v>125.456000142</c:v>
                </c:pt>
                <c:pt idx="121">
                  <c:v>126.477999729</c:v>
                </c:pt>
                <c:pt idx="122">
                  <c:v>127.479000133</c:v>
                </c:pt>
                <c:pt idx="123">
                  <c:v>128.453999874</c:v>
                </c:pt>
                <c:pt idx="124">
                  <c:v>129.454999649</c:v>
                </c:pt>
                <c:pt idx="125">
                  <c:v>130.451999371</c:v>
                </c:pt>
                <c:pt idx="126">
                  <c:v>133.088999125</c:v>
                </c:pt>
                <c:pt idx="127">
                  <c:v>134.016000735</c:v>
                </c:pt>
                <c:pt idx="128">
                  <c:v>134.969000495</c:v>
                </c:pt>
                <c:pt idx="129">
                  <c:v>135.987999569</c:v>
                </c:pt>
                <c:pt idx="130">
                  <c:v>137.009999784</c:v>
                </c:pt>
                <c:pt idx="131">
                  <c:v>140.193000272</c:v>
                </c:pt>
                <c:pt idx="132">
                  <c:v>141.176000749</c:v>
                </c:pt>
                <c:pt idx="133">
                  <c:v>142.130999593</c:v>
                </c:pt>
                <c:pt idx="134">
                  <c:v>143.057000404</c:v>
                </c:pt>
                <c:pt idx="135">
                  <c:v>143.966999743</c:v>
                </c:pt>
                <c:pt idx="136">
                  <c:v>144.962999923</c:v>
                </c:pt>
                <c:pt idx="137">
                  <c:v>145.961999986</c:v>
                </c:pt>
                <c:pt idx="138">
                  <c:v>147.017999715</c:v>
                </c:pt>
                <c:pt idx="139">
                  <c:v>150.285998987</c:v>
                </c:pt>
                <c:pt idx="140">
                  <c:v>151.350998994</c:v>
                </c:pt>
                <c:pt idx="141">
                  <c:v>152.387999882</c:v>
                </c:pt>
                <c:pt idx="142">
                  <c:v>153.487000032</c:v>
                </c:pt>
                <c:pt idx="143">
                  <c:v>154.468999709</c:v>
                </c:pt>
                <c:pt idx="144">
                  <c:v>155.453999899</c:v>
                </c:pt>
                <c:pt idx="145">
                  <c:v>156.446998938</c:v>
                </c:pt>
                <c:pt idx="146">
                  <c:v>157.467998983</c:v>
                </c:pt>
                <c:pt idx="147">
                  <c:v>158.462000079</c:v>
                </c:pt>
                <c:pt idx="148">
                  <c:v>159.466999908</c:v>
                </c:pt>
                <c:pt idx="149">
                  <c:v>160.482999728</c:v>
                </c:pt>
                <c:pt idx="150">
                  <c:v>161.455999128</c:v>
                </c:pt>
                <c:pt idx="151">
                  <c:v>162.46499964</c:v>
                </c:pt>
                <c:pt idx="152">
                  <c:v>163.448999659</c:v>
                </c:pt>
                <c:pt idx="153">
                  <c:v>164.450000692</c:v>
                </c:pt>
                <c:pt idx="154">
                  <c:v>165.456999605</c:v>
                </c:pt>
                <c:pt idx="155">
                  <c:v>166.47899982</c:v>
                </c:pt>
                <c:pt idx="156">
                  <c:v>167.538998974</c:v>
                </c:pt>
                <c:pt idx="157">
                  <c:v>168.449999741</c:v>
                </c:pt>
                <c:pt idx="158">
                  <c:v>169.45499957</c:v>
                </c:pt>
                <c:pt idx="159">
                  <c:v>170.469999848</c:v>
                </c:pt>
                <c:pt idx="160">
                  <c:v>171.501999883</c:v>
                </c:pt>
                <c:pt idx="161">
                  <c:v>172.467999975</c:v>
                </c:pt>
                <c:pt idx="162">
                  <c:v>173.471000092</c:v>
                </c:pt>
                <c:pt idx="163">
                  <c:v>176.818999182</c:v>
                </c:pt>
                <c:pt idx="164">
                  <c:v>178.052999731</c:v>
                </c:pt>
                <c:pt idx="165">
                  <c:v>178.98599985</c:v>
                </c:pt>
                <c:pt idx="166">
                  <c:v>179.979999689</c:v>
                </c:pt>
                <c:pt idx="167">
                  <c:v>180.975000327</c:v>
                </c:pt>
                <c:pt idx="168">
                  <c:v>181.962999771</c:v>
                </c:pt>
                <c:pt idx="169">
                  <c:v>182.949999673</c:v>
                </c:pt>
                <c:pt idx="170">
                  <c:v>183.96299961</c:v>
                </c:pt>
                <c:pt idx="171">
                  <c:v>184.961999673</c:v>
                </c:pt>
                <c:pt idx="172">
                  <c:v>185.983999259</c:v>
                </c:pt>
                <c:pt idx="173">
                  <c:v>186.965999566</c:v>
                </c:pt>
                <c:pt idx="174">
                  <c:v>187.957000778</c:v>
                </c:pt>
                <c:pt idx="175">
                  <c:v>188.961999979</c:v>
                </c:pt>
                <c:pt idx="176">
                  <c:v>189.954999648</c:v>
                </c:pt>
                <c:pt idx="177">
                  <c:v>190.986000769</c:v>
                </c:pt>
                <c:pt idx="178">
                  <c:v>192.004999215</c:v>
                </c:pt>
                <c:pt idx="179">
                  <c:v>192.978999414</c:v>
                </c:pt>
                <c:pt idx="180">
                  <c:v>194.05500004</c:v>
                </c:pt>
                <c:pt idx="181">
                  <c:v>194.984999648</c:v>
                </c:pt>
                <c:pt idx="182">
                  <c:v>196.198000386</c:v>
                </c:pt>
                <c:pt idx="183">
                  <c:v>196.996999648</c:v>
                </c:pt>
                <c:pt idx="184">
                  <c:v>198.043000185</c:v>
                </c:pt>
                <c:pt idx="185">
                  <c:v>199.060999718</c:v>
                </c:pt>
                <c:pt idx="186">
                  <c:v>200.049999961</c:v>
                </c:pt>
                <c:pt idx="187">
                  <c:v>201.017999765</c:v>
                </c:pt>
                <c:pt idx="188">
                  <c:v>202.028999361</c:v>
                </c:pt>
                <c:pt idx="189">
                  <c:v>203.084999718</c:v>
                </c:pt>
                <c:pt idx="190">
                  <c:v>204.03999919</c:v>
                </c:pt>
                <c:pt idx="191">
                  <c:v>204.985999641</c:v>
                </c:pt>
                <c:pt idx="192">
                  <c:v>206.031000008</c:v>
                </c:pt>
                <c:pt idx="193">
                  <c:v>206.957999733</c:v>
                </c:pt>
                <c:pt idx="194">
                  <c:v>207.975999894</c:v>
                </c:pt>
                <c:pt idx="195">
                  <c:v>208.967999392</c:v>
                </c:pt>
                <c:pt idx="196">
                  <c:v>209.967000712</c:v>
                </c:pt>
                <c:pt idx="197">
                  <c:v>210.984000074</c:v>
                </c:pt>
                <c:pt idx="198">
                  <c:v>211.944999941</c:v>
                </c:pt>
                <c:pt idx="199">
                  <c:v>212.967000156</c:v>
                </c:pt>
                <c:pt idx="200">
                  <c:v>213.973000156</c:v>
                </c:pt>
                <c:pt idx="201">
                  <c:v>214.97999907</c:v>
                </c:pt>
                <c:pt idx="202">
                  <c:v>215.960999834</c:v>
                </c:pt>
                <c:pt idx="203">
                  <c:v>216.988999815</c:v>
                </c:pt>
                <c:pt idx="204">
                  <c:v>217.941999575</c:v>
                </c:pt>
                <c:pt idx="205">
                  <c:v>218.935999413</c:v>
                </c:pt>
                <c:pt idx="206">
                  <c:v>219.946000096</c:v>
                </c:pt>
                <c:pt idx="207">
                  <c:v>221.004999708</c:v>
                </c:pt>
                <c:pt idx="208">
                  <c:v>221.965000662</c:v>
                </c:pt>
                <c:pt idx="209">
                  <c:v>222.943000285</c:v>
                </c:pt>
                <c:pt idx="210">
                  <c:v>224.023999879</c:v>
                </c:pt>
                <c:pt idx="211">
                  <c:v>224.961000052</c:v>
                </c:pt>
                <c:pt idx="212">
                  <c:v>226.041999645</c:v>
                </c:pt>
                <c:pt idx="213">
                  <c:v>227.018999727</c:v>
                </c:pt>
                <c:pt idx="214">
                  <c:v>228.046999708</c:v>
                </c:pt>
                <c:pt idx="215">
                  <c:v>228.93899912</c:v>
                </c:pt>
                <c:pt idx="216">
                  <c:v>230.054999655</c:v>
                </c:pt>
                <c:pt idx="217">
                  <c:v>230.997999594</c:v>
                </c:pt>
                <c:pt idx="218">
                  <c:v>232.037999737</c:v>
                </c:pt>
                <c:pt idx="219">
                  <c:v>232.985999272</c:v>
                </c:pt>
                <c:pt idx="220">
                  <c:v>233.997000753</c:v>
                </c:pt>
                <c:pt idx="221">
                  <c:v>234.990999964</c:v>
                </c:pt>
                <c:pt idx="222">
                  <c:v>236.091999826</c:v>
                </c:pt>
                <c:pt idx="223">
                  <c:v>236.986999749</c:v>
                </c:pt>
                <c:pt idx="224">
                  <c:v>237.979000504</c:v>
                </c:pt>
                <c:pt idx="225">
                  <c:v>239.009999111</c:v>
                </c:pt>
                <c:pt idx="226">
                  <c:v>240.007999632</c:v>
                </c:pt>
                <c:pt idx="227">
                  <c:v>240.972000011</c:v>
                </c:pt>
                <c:pt idx="228">
                  <c:v>242.005999758</c:v>
                </c:pt>
                <c:pt idx="229">
                  <c:v>242.989999777</c:v>
                </c:pt>
                <c:pt idx="230">
                  <c:v>244.001000002</c:v>
                </c:pt>
                <c:pt idx="231">
                  <c:v>245.118000078</c:v>
                </c:pt>
                <c:pt idx="232">
                  <c:v>245.978999859</c:v>
                </c:pt>
                <c:pt idx="233">
                  <c:v>247.008000011</c:v>
                </c:pt>
                <c:pt idx="234">
                  <c:v>248.007999616</c:v>
                </c:pt>
                <c:pt idx="235">
                  <c:v>248.992999806</c:v>
                </c:pt>
                <c:pt idx="236">
                  <c:v>250.00400003</c:v>
                </c:pt>
                <c:pt idx="237">
                  <c:v>250.977000058</c:v>
                </c:pt>
                <c:pt idx="238">
                  <c:v>251.985000399</c:v>
                </c:pt>
                <c:pt idx="239">
                  <c:v>252.96999996</c:v>
                </c:pt>
                <c:pt idx="240">
                  <c:v>253.980000014</c:v>
                </c:pt>
                <c:pt idx="241">
                  <c:v>255.002000229</c:v>
                </c:pt>
                <c:pt idx="242">
                  <c:v>255.99699961</c:v>
                </c:pt>
                <c:pt idx="243">
                  <c:v>257.096999301</c:v>
                </c:pt>
                <c:pt idx="244">
                  <c:v>257.993998937</c:v>
                </c:pt>
                <c:pt idx="245">
                  <c:v>259.010000014</c:v>
                </c:pt>
                <c:pt idx="246">
                  <c:v>260.027000005</c:v>
                </c:pt>
                <c:pt idx="247">
                  <c:v>260.979999764</c:v>
                </c:pt>
                <c:pt idx="248">
                  <c:v>261.986999935</c:v>
                </c:pt>
                <c:pt idx="249">
                  <c:v>262.994999648</c:v>
                </c:pt>
                <c:pt idx="250">
                  <c:v>264</c:v>
                </c:pt>
                <c:pt idx="251">
                  <c:v>264.99799937</c:v>
                </c:pt>
                <c:pt idx="252">
                  <c:v>266.008000052</c:v>
                </c:pt>
                <c:pt idx="253">
                  <c:v>267.0419998</c:v>
                </c:pt>
                <c:pt idx="254">
                  <c:v>267.98700008</c:v>
                </c:pt>
                <c:pt idx="255">
                  <c:v>269.069999386</c:v>
                </c:pt>
                <c:pt idx="256">
                  <c:v>270.036999648</c:v>
                </c:pt>
                <c:pt idx="257">
                  <c:v>270.988999865</c:v>
                </c:pt>
                <c:pt idx="258">
                  <c:v>272.068999917</c:v>
                </c:pt>
                <c:pt idx="259">
                  <c:v>273.010999686</c:v>
                </c:pt>
                <c:pt idx="260">
                  <c:v>274.016000772</c:v>
                </c:pt>
                <c:pt idx="261">
                  <c:v>275.02799991</c:v>
                </c:pt>
                <c:pt idx="262">
                  <c:v>275.996999256</c:v>
                </c:pt>
                <c:pt idx="263">
                  <c:v>277.067999029</c:v>
                </c:pt>
                <c:pt idx="264">
                  <c:v>278.052999847</c:v>
                </c:pt>
                <c:pt idx="265">
                  <c:v>278.987000137</c:v>
                </c:pt>
                <c:pt idx="266">
                  <c:v>280.011000065</c:v>
                </c:pt>
                <c:pt idx="267">
                  <c:v>281.02400063</c:v>
                </c:pt>
                <c:pt idx="268">
                  <c:v>282.031999714</c:v>
                </c:pt>
                <c:pt idx="269">
                  <c:v>283.034999831</c:v>
                </c:pt>
                <c:pt idx="270">
                  <c:v>284.029999841</c:v>
                </c:pt>
                <c:pt idx="271">
                  <c:v>284.990999079</c:v>
                </c:pt>
                <c:pt idx="272">
                  <c:v>286.003000102</c:v>
                </c:pt>
                <c:pt idx="273">
                  <c:v>287.090999633</c:v>
                </c:pt>
                <c:pt idx="274">
                  <c:v>288.033999572</c:v>
                </c:pt>
                <c:pt idx="275">
                  <c:v>288.980999565</c:v>
                </c:pt>
                <c:pt idx="276">
                  <c:v>289.961000159</c:v>
                </c:pt>
                <c:pt idx="277">
                  <c:v>290.965999988</c:v>
                </c:pt>
                <c:pt idx="278">
                  <c:v>292.013000696</c:v>
                </c:pt>
                <c:pt idx="279">
                  <c:v>293.00100014</c:v>
                </c:pt>
                <c:pt idx="280">
                  <c:v>294.010000023</c:v>
                </c:pt>
                <c:pt idx="281">
                  <c:v>294.971000519</c:v>
                </c:pt>
                <c:pt idx="282">
                  <c:v>295.967998984</c:v>
                </c:pt>
                <c:pt idx="283">
                  <c:v>296.948999748</c:v>
                </c:pt>
                <c:pt idx="284">
                  <c:v>297.961000143</c:v>
                </c:pt>
                <c:pt idx="285">
                  <c:v>298.952000099</c:v>
                </c:pt>
                <c:pt idx="286">
                  <c:v>299.996999837</c:v>
                </c:pt>
                <c:pt idx="287">
                  <c:v>300.975999631</c:v>
                </c:pt>
                <c:pt idx="288">
                  <c:v>301.986999856</c:v>
                </c:pt>
                <c:pt idx="289">
                  <c:v>302.969999704</c:v>
                </c:pt>
                <c:pt idx="290">
                  <c:v>304.048000043</c:v>
                </c:pt>
                <c:pt idx="291">
                  <c:v>304.952000244</c:v>
                </c:pt>
                <c:pt idx="292">
                  <c:v>305.948000424</c:v>
                </c:pt>
                <c:pt idx="293">
                  <c:v>306.952999625</c:v>
                </c:pt>
                <c:pt idx="294">
                  <c:v>307.969000074</c:v>
                </c:pt>
                <c:pt idx="295">
                  <c:v>308.979000127</c:v>
                </c:pt>
                <c:pt idx="296">
                  <c:v>309.948999015</c:v>
                </c:pt>
                <c:pt idx="297">
                  <c:v>310.958000156</c:v>
                </c:pt>
                <c:pt idx="298">
                  <c:v>311.979999742</c:v>
                </c:pt>
                <c:pt idx="299">
                  <c:v>312.959000165</c:v>
                </c:pt>
                <c:pt idx="300">
                  <c:v>313.950000121</c:v>
                </c:pt>
                <c:pt idx="301">
                  <c:v>314.981999527</c:v>
                </c:pt>
                <c:pt idx="302">
                  <c:v>316.002999572</c:v>
                </c:pt>
                <c:pt idx="303">
                  <c:v>316.96599978</c:v>
                </c:pt>
                <c:pt idx="304">
                  <c:v>317.951999511</c:v>
                </c:pt>
                <c:pt idx="305">
                  <c:v>318.945999979</c:v>
                </c:pt>
                <c:pt idx="306">
                  <c:v>319.956999574</c:v>
                </c:pt>
                <c:pt idx="307">
                  <c:v>320.951999584</c:v>
                </c:pt>
                <c:pt idx="308">
                  <c:v>321.947999764</c:v>
                </c:pt>
                <c:pt idx="309">
                  <c:v>322.937000007</c:v>
                </c:pt>
                <c:pt idx="310">
                  <c:v>323.972999467</c:v>
                </c:pt>
                <c:pt idx="311">
                  <c:v>324.939999729</c:v>
                </c:pt>
                <c:pt idx="312">
                  <c:v>325.980999413</c:v>
                </c:pt>
                <c:pt idx="313">
                  <c:v>326.955999783</c:v>
                </c:pt>
                <c:pt idx="314">
                  <c:v>327.968000178</c:v>
                </c:pt>
                <c:pt idx="315">
                  <c:v>328.966000699</c:v>
                </c:pt>
                <c:pt idx="316">
                  <c:v>330.016999575</c:v>
                </c:pt>
                <c:pt idx="317">
                  <c:v>330.952000664</c:v>
                </c:pt>
                <c:pt idx="318">
                  <c:v>331.961000547</c:v>
                </c:pt>
                <c:pt idx="319">
                  <c:v>332.943999767</c:v>
                </c:pt>
                <c:pt idx="320">
                  <c:v>333.967000152</c:v>
                </c:pt>
                <c:pt idx="321">
                  <c:v>334.962999704</c:v>
                </c:pt>
                <c:pt idx="322">
                  <c:v>335.974000557</c:v>
                </c:pt>
                <c:pt idx="323">
                  <c:v>337.008999846</c:v>
                </c:pt>
                <c:pt idx="324">
                  <c:v>337.952999956</c:v>
                </c:pt>
                <c:pt idx="325">
                  <c:v>338.949999678</c:v>
                </c:pt>
                <c:pt idx="326">
                  <c:v>339.952999167</c:v>
                </c:pt>
                <c:pt idx="327">
                  <c:v>340.953999571</c:v>
                </c:pt>
                <c:pt idx="328">
                  <c:v>341.953999805</c:v>
                </c:pt>
                <c:pt idx="329">
                  <c:v>342.936999653</c:v>
                </c:pt>
                <c:pt idx="330">
                  <c:v>343.960000039</c:v>
                </c:pt>
                <c:pt idx="331">
                  <c:v>344.949999824</c:v>
                </c:pt>
                <c:pt idx="332">
                  <c:v>345.978999976</c:v>
                </c:pt>
                <c:pt idx="333">
                  <c:v>346.964000165</c:v>
                </c:pt>
                <c:pt idx="334">
                  <c:v>347.946999385</c:v>
                </c:pt>
                <c:pt idx="335">
                  <c:v>348.954000184</c:v>
                </c:pt>
                <c:pt idx="336">
                  <c:v>349.948000023</c:v>
                </c:pt>
                <c:pt idx="337">
                  <c:v>350.949999969</c:v>
                </c:pt>
                <c:pt idx="338">
                  <c:v>351.942000095</c:v>
                </c:pt>
                <c:pt idx="339">
                  <c:v>352.97199916</c:v>
                </c:pt>
                <c:pt idx="340">
                  <c:v>353.9479997</c:v>
                </c:pt>
                <c:pt idx="341">
                  <c:v>354.94399988</c:v>
                </c:pt>
                <c:pt idx="342">
                  <c:v>355.942999944</c:v>
                </c:pt>
                <c:pt idx="343">
                  <c:v>356.947999773</c:v>
                </c:pt>
                <c:pt idx="344">
                  <c:v>357.949000806</c:v>
                </c:pt>
                <c:pt idx="345">
                  <c:v>358.961000572</c:v>
                </c:pt>
                <c:pt idx="346">
                  <c:v>359.966999315</c:v>
                </c:pt>
                <c:pt idx="347">
                  <c:v>360.950999334</c:v>
                </c:pt>
                <c:pt idx="348">
                  <c:v>361.947000143</c:v>
                </c:pt>
                <c:pt idx="349">
                  <c:v>362.965000304</c:v>
                </c:pt>
                <c:pt idx="350">
                  <c:v>363.949999865</c:v>
                </c:pt>
                <c:pt idx="351">
                  <c:v>364.948999928</c:v>
                </c:pt>
                <c:pt idx="352">
                  <c:v>365.952999587</c:v>
                </c:pt>
                <c:pt idx="353">
                  <c:v>367.015999881</c:v>
                </c:pt>
                <c:pt idx="354">
                  <c:v>367.966999928</c:v>
                </c:pt>
                <c:pt idx="355">
                  <c:v>368.965999991</c:v>
                </c:pt>
                <c:pt idx="356">
                  <c:v>369.95000001</c:v>
                </c:pt>
                <c:pt idx="357">
                  <c:v>370.960999606</c:v>
                </c:pt>
                <c:pt idx="358">
                  <c:v>371.955998986</c:v>
                </c:pt>
                <c:pt idx="359">
                  <c:v>372.976000746</c:v>
                </c:pt>
                <c:pt idx="360">
                  <c:v>373.981999489</c:v>
                </c:pt>
                <c:pt idx="361">
                  <c:v>374.951999634</c:v>
                </c:pt>
                <c:pt idx="362">
                  <c:v>376.020999695</c:v>
                </c:pt>
                <c:pt idx="363">
                  <c:v>376.971999742</c:v>
                </c:pt>
                <c:pt idx="364">
                  <c:v>377.954000676</c:v>
                </c:pt>
                <c:pt idx="365">
                  <c:v>378.95199994</c:v>
                </c:pt>
                <c:pt idx="366">
                  <c:v>379.963000165</c:v>
                </c:pt>
                <c:pt idx="367">
                  <c:v>380.937999906</c:v>
                </c:pt>
                <c:pt idx="368">
                  <c:v>381.971999653</c:v>
                </c:pt>
                <c:pt idx="369">
                  <c:v>383.010000712</c:v>
                </c:pt>
                <c:pt idx="370">
                  <c:v>383.946999628</c:v>
                </c:pt>
                <c:pt idx="371">
                  <c:v>384.970000013</c:v>
                </c:pt>
                <c:pt idx="372">
                  <c:v>385.949000436</c:v>
                </c:pt>
                <c:pt idx="373">
                  <c:v>386.961999745</c:v>
                </c:pt>
                <c:pt idx="374">
                  <c:v>387.967999745</c:v>
                </c:pt>
                <c:pt idx="375">
                  <c:v>388.954999647</c:v>
                </c:pt>
                <c:pt idx="376">
                  <c:v>390.005999151</c:v>
                </c:pt>
                <c:pt idx="377">
                  <c:v>390.963999764</c:v>
                </c:pt>
                <c:pt idx="378">
                  <c:v>391.988999862</c:v>
                </c:pt>
                <c:pt idx="379">
                  <c:v>392.930999631</c:v>
                </c:pt>
                <c:pt idx="380">
                  <c:v>393.926999811</c:v>
                </c:pt>
                <c:pt idx="381">
                  <c:v>394.958999846</c:v>
                </c:pt>
                <c:pt idx="382">
                  <c:v>395.981000061</c:v>
                </c:pt>
                <c:pt idx="383">
                  <c:v>396.966999792</c:v>
                </c:pt>
                <c:pt idx="384">
                  <c:v>397.954999865</c:v>
                </c:pt>
                <c:pt idx="385">
                  <c:v>398.930999147</c:v>
                </c:pt>
                <c:pt idx="386">
                  <c:v>400.016000051</c:v>
                </c:pt>
                <c:pt idx="387">
                  <c:v>401.001000241</c:v>
                </c:pt>
                <c:pt idx="388">
                  <c:v>401.958000054</c:v>
                </c:pt>
                <c:pt idx="389">
                  <c:v>402.96999982</c:v>
                </c:pt>
                <c:pt idx="390">
                  <c:v>403.963999659</c:v>
                </c:pt>
                <c:pt idx="391">
                  <c:v>404.955999786</c:v>
                </c:pt>
                <c:pt idx="392">
                  <c:v>405.964999669</c:v>
                </c:pt>
                <c:pt idx="393">
                  <c:v>406.956999795</c:v>
                </c:pt>
                <c:pt idx="394">
                  <c:v>407.939999643</c:v>
                </c:pt>
                <c:pt idx="395">
                  <c:v>408.983000298</c:v>
                </c:pt>
                <c:pt idx="396">
                  <c:v>409.972999454</c:v>
                </c:pt>
                <c:pt idx="397">
                  <c:v>410.94399977</c:v>
                </c:pt>
                <c:pt idx="398">
                  <c:v>411.975999805</c:v>
                </c:pt>
                <c:pt idx="399">
                  <c:v>413.008000468</c:v>
                </c:pt>
                <c:pt idx="400">
                  <c:v>413.946000183</c:v>
                </c:pt>
                <c:pt idx="401">
                  <c:v>414.992999634</c:v>
                </c:pt>
                <c:pt idx="402">
                  <c:v>415.943000139</c:v>
                </c:pt>
                <c:pt idx="403">
                  <c:v>416.942999744</c:v>
                </c:pt>
                <c:pt idx="404">
                  <c:v>417.954999511</c:v>
                </c:pt>
                <c:pt idx="405">
                  <c:v>418.965999735</c:v>
                </c:pt>
                <c:pt idx="406">
                  <c:v>419.960000202</c:v>
                </c:pt>
                <c:pt idx="407">
                  <c:v>420.969000086</c:v>
                </c:pt>
                <c:pt idx="408">
                  <c:v>421.949998964</c:v>
                </c:pt>
                <c:pt idx="409">
                  <c:v>424.709999584</c:v>
                </c:pt>
                <c:pt idx="410">
                  <c:v>426.955999899</c:v>
                </c:pt>
                <c:pt idx="411">
                  <c:v>427.974999602</c:v>
                </c:pt>
                <c:pt idx="412">
                  <c:v>429.017999628</c:v>
                </c:pt>
                <c:pt idx="413">
                  <c:v>430.046999151</c:v>
                </c:pt>
                <c:pt idx="414">
                  <c:v>433.623000676</c:v>
                </c:pt>
                <c:pt idx="415">
                  <c:v>434.57899969</c:v>
                </c:pt>
                <c:pt idx="416">
                  <c:v>435.533999791</c:v>
                </c:pt>
                <c:pt idx="417">
                  <c:v>439.53699998</c:v>
                </c:pt>
                <c:pt idx="418">
                  <c:v>442.502999911</c:v>
                </c:pt>
                <c:pt idx="419">
                  <c:v>445.257999678</c:v>
                </c:pt>
                <c:pt idx="420">
                  <c:v>446.149999718</c:v>
                </c:pt>
                <c:pt idx="421">
                  <c:v>447.13699962</c:v>
                </c:pt>
                <c:pt idx="422">
                  <c:v>448.079999559</c:v>
                </c:pt>
                <c:pt idx="423">
                  <c:v>448.99600055</c:v>
                </c:pt>
                <c:pt idx="424">
                  <c:v>449.977000057</c:v>
                </c:pt>
                <c:pt idx="425">
                  <c:v>451.042000064</c:v>
                </c:pt>
                <c:pt idx="426">
                  <c:v>451.991000398</c:v>
                </c:pt>
                <c:pt idx="427">
                  <c:v>452.980000013</c:v>
                </c:pt>
                <c:pt idx="428">
                  <c:v>454.045998933</c:v>
                </c:pt>
                <c:pt idx="429">
                  <c:v>454.969999403</c:v>
                </c:pt>
                <c:pt idx="430">
                  <c:v>456.003999151</c:v>
                </c:pt>
                <c:pt idx="431">
                  <c:v>457.009999779</c:v>
                </c:pt>
                <c:pt idx="432">
                  <c:v>458.074000244</c:v>
                </c:pt>
                <c:pt idx="433">
                  <c:v>458.996999915</c:v>
                </c:pt>
                <c:pt idx="434">
                  <c:v>460.020999843</c:v>
                </c:pt>
                <c:pt idx="435">
                  <c:v>460.977999656</c:v>
                </c:pt>
                <c:pt idx="436">
                  <c:v>462.046999717</c:v>
                </c:pt>
                <c:pt idx="437">
                  <c:v>462.95299963</c:v>
                </c:pt>
                <c:pt idx="438">
                  <c:v>463.960999343</c:v>
                </c:pt>
                <c:pt idx="439">
                  <c:v>464.929999946</c:v>
                </c:pt>
                <c:pt idx="440">
                  <c:v>465.933999605</c:v>
                </c:pt>
                <c:pt idx="441">
                  <c:v>466.952999937</c:v>
                </c:pt>
                <c:pt idx="442">
                  <c:v>467.943999893</c:v>
                </c:pt>
                <c:pt idx="443">
                  <c:v>468.947000009</c:v>
                </c:pt>
                <c:pt idx="444">
                  <c:v>469.941000477</c:v>
                </c:pt>
                <c:pt idx="445">
                  <c:v>470.967000117</c:v>
                </c:pt>
                <c:pt idx="446">
                  <c:v>471.954999561</c:v>
                </c:pt>
                <c:pt idx="447">
                  <c:v>472.953000082</c:v>
                </c:pt>
                <c:pt idx="448">
                  <c:v>473.948999634</c:v>
                </c:pt>
                <c:pt idx="449">
                  <c:v>474.97199939</c:v>
                </c:pt>
                <c:pt idx="450">
                  <c:v>476.093999692</c:v>
                </c:pt>
                <c:pt idx="451">
                  <c:v>476.964999921</c:v>
                </c:pt>
                <c:pt idx="452">
                  <c:v>477.951999823</c:v>
                </c:pt>
                <c:pt idx="453">
                  <c:v>478.950999886</c:v>
                </c:pt>
                <c:pt idx="454">
                  <c:v>479.953000461</c:v>
                </c:pt>
                <c:pt idx="455">
                  <c:v>480.943000246</c:v>
                </c:pt>
                <c:pt idx="456">
                  <c:v>481.933999573</c:v>
                </c:pt>
                <c:pt idx="457">
                  <c:v>482.948000309</c:v>
                </c:pt>
                <c:pt idx="458">
                  <c:v>483.947000373</c:v>
                </c:pt>
                <c:pt idx="459">
                  <c:v>484.962999564</c:v>
                </c:pt>
                <c:pt idx="460">
                  <c:v>485.939999017</c:v>
                </c:pt>
                <c:pt idx="461">
                  <c:v>486.965999915</c:v>
                </c:pt>
                <c:pt idx="462">
                  <c:v>487.977000139</c:v>
                </c:pt>
                <c:pt idx="463">
                  <c:v>488.988999905</c:v>
                </c:pt>
                <c:pt idx="464">
                  <c:v>489.946999889</c:v>
                </c:pt>
                <c:pt idx="465">
                  <c:v>490.960999368</c:v>
                </c:pt>
                <c:pt idx="466">
                  <c:v>491.94799927</c:v>
                </c:pt>
                <c:pt idx="467">
                  <c:v>492.960999836</c:v>
                </c:pt>
                <c:pt idx="468">
                  <c:v>493.940999801</c:v>
                </c:pt>
                <c:pt idx="469">
                  <c:v>494.938000151</c:v>
                </c:pt>
                <c:pt idx="470">
                  <c:v>495.967000303</c:v>
                </c:pt>
                <c:pt idx="471">
                  <c:v>496.957000088</c:v>
                </c:pt>
                <c:pt idx="472">
                  <c:v>497.967000142</c:v>
                </c:pt>
                <c:pt idx="473">
                  <c:v>500.22299902</c:v>
                </c:pt>
                <c:pt idx="474">
                  <c:v>501.279000006</c:v>
                </c:pt>
                <c:pt idx="475">
                  <c:v>502.353999833</c:v>
                </c:pt>
                <c:pt idx="476">
                  <c:v>503.370000282</c:v>
                </c:pt>
                <c:pt idx="477">
                  <c:v>504.434000747</c:v>
                </c:pt>
                <c:pt idx="478">
                  <c:v>505.488000134</c:v>
                </c:pt>
                <c:pt idx="479">
                  <c:v>506.448999373</c:v>
                </c:pt>
                <c:pt idx="480">
                  <c:v>507.485000719</c:v>
                </c:pt>
                <c:pt idx="481">
                  <c:v>508.447999041</c:v>
                </c:pt>
                <c:pt idx="482">
                  <c:v>509.459000523</c:v>
                </c:pt>
                <c:pt idx="483">
                  <c:v>510.444000083</c:v>
                </c:pt>
                <c:pt idx="484">
                  <c:v>511.44600003</c:v>
                </c:pt>
                <c:pt idx="485">
                  <c:v>512.441000668</c:v>
                </c:pt>
                <c:pt idx="486">
                  <c:v>513.450000551</c:v>
                </c:pt>
                <c:pt idx="487">
                  <c:v>514.437999995</c:v>
                </c:pt>
                <c:pt idx="488">
                  <c:v>515.445999079</c:v>
                </c:pt>
                <c:pt idx="489">
                  <c:v>516.475999401</c:v>
                </c:pt>
                <c:pt idx="490">
                  <c:v>517.475999007</c:v>
                </c:pt>
                <c:pt idx="491">
                  <c:v>518.448999663</c:v>
                </c:pt>
                <c:pt idx="492">
                  <c:v>519.47099925</c:v>
                </c:pt>
                <c:pt idx="493">
                  <c:v>520.43800014</c:v>
                </c:pt>
                <c:pt idx="494">
                  <c:v>521.460999897</c:v>
                </c:pt>
                <c:pt idx="495">
                  <c:v>522.465999098</c:v>
                </c:pt>
                <c:pt idx="496">
                  <c:v>523.45499997</c:v>
                </c:pt>
                <c:pt idx="497">
                  <c:v>524.45100015</c:v>
                </c:pt>
                <c:pt idx="498">
                  <c:v>525.475999619</c:v>
                </c:pt>
                <c:pt idx="499">
                  <c:v>526.435999944</c:v>
                </c:pt>
                <c:pt idx="500">
                  <c:v>527.447000169</c:v>
                </c:pt>
                <c:pt idx="501">
                  <c:v>528.490000194</c:v>
                </c:pt>
                <c:pt idx="502">
                  <c:v>532.090000156</c:v>
                </c:pt>
                <c:pt idx="503">
                  <c:v>533.011999656</c:v>
                </c:pt>
                <c:pt idx="504">
                  <c:v>534.027999476</c:v>
                </c:pt>
                <c:pt idx="505">
                  <c:v>534.965000278</c:v>
                </c:pt>
                <c:pt idx="506">
                  <c:v>535.97199982</c:v>
                </c:pt>
                <c:pt idx="507">
                  <c:v>536.976999649</c:v>
                </c:pt>
                <c:pt idx="508">
                  <c:v>538.020999846</c:v>
                </c:pt>
                <c:pt idx="509">
                  <c:v>538.978000287</c:v>
                </c:pt>
                <c:pt idx="510">
                  <c:v>539.998000161</c:v>
                </c:pt>
                <c:pt idx="511">
                  <c:v>540.976999956</c:v>
                </c:pt>
                <c:pt idx="512">
                  <c:v>541.982000414</c:v>
                </c:pt>
                <c:pt idx="513">
                  <c:v>542.986000073</c:v>
                </c:pt>
                <c:pt idx="514">
                  <c:v>543.975999858</c:v>
                </c:pt>
                <c:pt idx="515">
                  <c:v>544.947999715</c:v>
                </c:pt>
                <c:pt idx="516">
                  <c:v>545.993999624</c:v>
                </c:pt>
                <c:pt idx="517">
                  <c:v>546.956999204</c:v>
                </c:pt>
                <c:pt idx="518">
                  <c:v>547.968000685</c:v>
                </c:pt>
                <c:pt idx="519">
                  <c:v>548.960999725</c:v>
                </c:pt>
                <c:pt idx="520">
                  <c:v>549.981999769</c:v>
                </c:pt>
                <c:pt idx="521">
                  <c:v>550.964000076</c:v>
                </c:pt>
                <c:pt idx="522">
                  <c:v>551.943999412</c:v>
                </c:pt>
                <c:pt idx="523">
                  <c:v>553.013000101</c:v>
                </c:pt>
                <c:pt idx="524">
                  <c:v>553.960999636</c:v>
                </c:pt>
                <c:pt idx="525">
                  <c:v>554.952999763</c:v>
                </c:pt>
                <c:pt idx="526">
                  <c:v>555.973999807</c:v>
                </c:pt>
                <c:pt idx="527">
                  <c:v>556.979999807</c:v>
                </c:pt>
                <c:pt idx="528">
                  <c:v>557.949999952</c:v>
                </c:pt>
                <c:pt idx="529">
                  <c:v>558.946999674</c:v>
                </c:pt>
                <c:pt idx="530">
                  <c:v>559.996000095</c:v>
                </c:pt>
                <c:pt idx="531">
                  <c:v>560.955999791</c:v>
                </c:pt>
                <c:pt idx="532">
                  <c:v>561.953999684</c:v>
                </c:pt>
                <c:pt idx="533">
                  <c:v>562.945999181</c:v>
                </c:pt>
                <c:pt idx="534">
                  <c:v>563.962999801</c:v>
                </c:pt>
                <c:pt idx="535">
                  <c:v>564.945000107</c:v>
                </c:pt>
                <c:pt idx="536">
                  <c:v>565.945999883</c:v>
                </c:pt>
                <c:pt idx="537">
                  <c:v>566.954999766</c:v>
                </c:pt>
                <c:pt idx="538">
                  <c:v>567.961000395</c:v>
                </c:pt>
                <c:pt idx="539">
                  <c:v>568.937999848</c:v>
                </c:pt>
                <c:pt idx="540">
                  <c:v>569.942000135</c:v>
                </c:pt>
                <c:pt idx="541">
                  <c:v>570.945999794</c:v>
                </c:pt>
                <c:pt idx="542">
                  <c:v>571.962999785</c:v>
                </c:pt>
                <c:pt idx="543">
                  <c:v>572.952000028</c:v>
                </c:pt>
                <c:pt idx="544">
                  <c:v>573.956999229</c:v>
                </c:pt>
                <c:pt idx="545">
                  <c:v>574.952999409</c:v>
                </c:pt>
                <c:pt idx="546">
                  <c:v>575.963999633</c:v>
                </c:pt>
                <c:pt idx="547">
                  <c:v>576.949999993</c:v>
                </c:pt>
                <c:pt idx="548">
                  <c:v>577.946000173</c:v>
                </c:pt>
                <c:pt idx="549">
                  <c:v>578.961999993</c:v>
                </c:pt>
                <c:pt idx="550">
                  <c:v>579.957000003</c:v>
                </c:pt>
                <c:pt idx="551">
                  <c:v>580.934000085</c:v>
                </c:pt>
                <c:pt idx="552">
                  <c:v>581.944000138</c:v>
                </c:pt>
                <c:pt idx="553">
                  <c:v>582.93999969</c:v>
                </c:pt>
                <c:pt idx="554">
                  <c:v>583.953999797</c:v>
                </c:pt>
                <c:pt idx="555">
                  <c:v>584.95199969</c:v>
                </c:pt>
                <c:pt idx="556">
                  <c:v>585.936000337</c:v>
                </c:pt>
                <c:pt idx="557">
                  <c:v>586.94199908</c:v>
                </c:pt>
                <c:pt idx="558">
                  <c:v>587.965000094</c:v>
                </c:pt>
                <c:pt idx="559">
                  <c:v>588.946999143</c:v>
                </c:pt>
                <c:pt idx="560">
                  <c:v>589.953999943</c:v>
                </c:pt>
                <c:pt idx="561">
                  <c:v>590.953000006</c:v>
                </c:pt>
                <c:pt idx="562">
                  <c:v>591.946999845</c:v>
                </c:pt>
                <c:pt idx="563">
                  <c:v>592.94699945</c:v>
                </c:pt>
                <c:pt idx="564">
                  <c:v>593.949000653</c:v>
                </c:pt>
                <c:pt idx="565">
                  <c:v>594.942999863</c:v>
                </c:pt>
                <c:pt idx="566">
                  <c:v>595.933999819</c:v>
                </c:pt>
                <c:pt idx="567">
                  <c:v>596.949000097</c:v>
                </c:pt>
                <c:pt idx="568">
                  <c:v>597.940000682</c:v>
                </c:pt>
                <c:pt idx="569">
                  <c:v>598.947999766</c:v>
                </c:pt>
                <c:pt idx="570">
                  <c:v>599.961999873</c:v>
                </c:pt>
                <c:pt idx="571">
                  <c:v>600.948000233</c:v>
                </c:pt>
                <c:pt idx="572">
                  <c:v>602</c:v>
                </c:pt>
                <c:pt idx="573">
                  <c:v>602.936999453</c:v>
                </c:pt>
                <c:pt idx="574">
                  <c:v>603.955999785</c:v>
                </c:pt>
                <c:pt idx="575">
                  <c:v>604.943999857</c:v>
                </c:pt>
                <c:pt idx="576">
                  <c:v>605.955999623</c:v>
                </c:pt>
                <c:pt idx="577">
                  <c:v>606.954999687</c:v>
                </c:pt>
                <c:pt idx="578">
                  <c:v>607.949999696</c:v>
                </c:pt>
                <c:pt idx="579">
                  <c:v>608.945999876</c:v>
                </c:pt>
                <c:pt idx="580">
                  <c:v>609.935999661</c:v>
                </c:pt>
                <c:pt idx="581">
                  <c:v>610.935999895</c:v>
                </c:pt>
                <c:pt idx="582">
                  <c:v>611.95800011</c:v>
                </c:pt>
                <c:pt idx="583">
                  <c:v>612.949000066</c:v>
                </c:pt>
                <c:pt idx="584">
                  <c:v>613.9479995</c:v>
                </c:pt>
                <c:pt idx="585">
                  <c:v>614.952999958</c:v>
                </c:pt>
                <c:pt idx="586">
                  <c:v>615.96200047</c:v>
                </c:pt>
                <c:pt idx="587">
                  <c:v>616.992999077</c:v>
                </c:pt>
                <c:pt idx="588">
                  <c:v>617.936999816</c:v>
                </c:pt>
                <c:pt idx="589">
                  <c:v>618.950999295</c:v>
                </c:pt>
                <c:pt idx="590">
                  <c:v>619.933999772</c:v>
                </c:pt>
                <c:pt idx="591">
                  <c:v>620.9400004</c:v>
                </c:pt>
                <c:pt idx="592">
                  <c:v>621.949000284</c:v>
                </c:pt>
                <c:pt idx="593">
                  <c:v>622.937999898</c:v>
                </c:pt>
                <c:pt idx="594">
                  <c:v>623.939999844</c:v>
                </c:pt>
                <c:pt idx="595">
                  <c:v>624.951999611</c:v>
                </c:pt>
                <c:pt idx="596">
                  <c:v>625.94699962</c:v>
                </c:pt>
                <c:pt idx="597">
                  <c:v>626.948000653</c:v>
                </c:pt>
                <c:pt idx="598">
                  <c:v>627.95899962</c:v>
                </c:pt>
                <c:pt idx="599">
                  <c:v>628.950999747</c:v>
                </c:pt>
                <c:pt idx="600">
                  <c:v>629.963000142</c:v>
                </c:pt>
                <c:pt idx="601">
                  <c:v>630.943999649</c:v>
                </c:pt>
                <c:pt idx="602">
                  <c:v>631.954999873</c:v>
                </c:pt>
                <c:pt idx="603">
                  <c:v>632.947000628</c:v>
                </c:pt>
                <c:pt idx="604">
                  <c:v>633.951999829</c:v>
                </c:pt>
                <c:pt idx="605">
                  <c:v>634.953999775</c:v>
                </c:pt>
                <c:pt idx="606">
                  <c:v>635.969999595</c:v>
                </c:pt>
                <c:pt idx="607">
                  <c:v>636.975000053</c:v>
                </c:pt>
                <c:pt idx="608">
                  <c:v>637.964999838</c:v>
                </c:pt>
                <c:pt idx="609">
                  <c:v>638.950000028</c:v>
                </c:pt>
                <c:pt idx="610">
                  <c:v>639.994999766</c:v>
                </c:pt>
                <c:pt idx="611">
                  <c:v>640.955999633</c:v>
                </c:pt>
                <c:pt idx="612">
                  <c:v>641.959999292</c:v>
                </c:pt>
                <c:pt idx="613">
                  <c:v>642.941000056</c:v>
                </c:pt>
                <c:pt idx="614">
                  <c:v>643.95899896</c:v>
                </c:pt>
                <c:pt idx="615">
                  <c:v>644.950999715</c:v>
                </c:pt>
                <c:pt idx="616">
                  <c:v>645.945000182</c:v>
                </c:pt>
                <c:pt idx="617">
                  <c:v>646.959999203</c:v>
                </c:pt>
                <c:pt idx="618">
                  <c:v>647.942000138</c:v>
                </c:pt>
                <c:pt idx="619">
                  <c:v>648.937999689</c:v>
                </c:pt>
                <c:pt idx="620">
                  <c:v>649.950000084</c:v>
                </c:pt>
                <c:pt idx="621">
                  <c:v>650.952000031</c:v>
                </c:pt>
                <c:pt idx="622">
                  <c:v>651.953999977</c:v>
                </c:pt>
                <c:pt idx="623">
                  <c:v>652.972000138</c:v>
                </c:pt>
                <c:pt idx="624">
                  <c:v>653.972999914</c:v>
                </c:pt>
                <c:pt idx="625">
                  <c:v>654.947000113</c:v>
                </c:pt>
                <c:pt idx="626">
                  <c:v>655.953000742</c:v>
                </c:pt>
                <c:pt idx="627">
                  <c:v>656.949999206</c:v>
                </c:pt>
                <c:pt idx="628">
                  <c:v>657.939998991</c:v>
                </c:pt>
                <c:pt idx="629">
                  <c:v>658.956000069</c:v>
                </c:pt>
                <c:pt idx="630">
                  <c:v>659.962999611</c:v>
                </c:pt>
                <c:pt idx="631">
                  <c:v>660.942999576</c:v>
                </c:pt>
                <c:pt idx="632">
                  <c:v>662.007999583</c:v>
                </c:pt>
                <c:pt idx="633">
                  <c:v>662.993999943</c:v>
                </c:pt>
                <c:pt idx="634">
                  <c:v>664.039999851</c:v>
                </c:pt>
                <c:pt idx="635">
                  <c:v>664.965999405</c:v>
                </c:pt>
                <c:pt idx="636">
                  <c:v>665.964999468</c:v>
                </c:pt>
                <c:pt idx="637">
                  <c:v>666.948999487</c:v>
                </c:pt>
                <c:pt idx="638">
                  <c:v>667.944999667</c:v>
                </c:pt>
                <c:pt idx="639">
                  <c:v>668.948999955</c:v>
                </c:pt>
                <c:pt idx="640">
                  <c:v>669.985999586</c:v>
                </c:pt>
                <c:pt idx="641">
                  <c:v>670.941999857</c:v>
                </c:pt>
                <c:pt idx="642">
                  <c:v>671.957000135</c:v>
                </c:pt>
                <c:pt idx="643">
                  <c:v>672.933999588</c:v>
                </c:pt>
                <c:pt idx="644">
                  <c:v>673.958000144</c:v>
                </c:pt>
                <c:pt idx="645">
                  <c:v>674.943999876</c:v>
                </c:pt>
                <c:pt idx="646">
                  <c:v>675.956999813</c:v>
                </c:pt>
                <c:pt idx="647">
                  <c:v>676.970000378</c:v>
                </c:pt>
                <c:pt idx="648">
                  <c:v>677.96399896</c:v>
                </c:pt>
                <c:pt idx="649">
                  <c:v>680.983000388</c:v>
                </c:pt>
                <c:pt idx="650">
                  <c:v>683.767999615</c:v>
                </c:pt>
                <c:pt idx="651">
                  <c:v>688.986999168</c:v>
                </c:pt>
                <c:pt idx="652">
                  <c:v>690.009000012</c:v>
                </c:pt>
                <c:pt idx="653">
                  <c:v>690.987999807</c:v>
                </c:pt>
                <c:pt idx="654">
                  <c:v>691.97700005</c:v>
                </c:pt>
                <c:pt idx="655">
                  <c:v>692.962999781</c:v>
                </c:pt>
                <c:pt idx="656">
                  <c:v>693.997000157</c:v>
                </c:pt>
                <c:pt idx="657">
                  <c:v>694.962000078</c:v>
                </c:pt>
                <c:pt idx="658">
                  <c:v>697.80499977</c:v>
                </c:pt>
                <c:pt idx="659">
                  <c:v>700.620999885</c:v>
                </c:pt>
              </c:numCache>
            </c:numRef>
          </c:xVal>
          <c:yVal>
            <c:numRef>
              <c:f>CSV_QGC!$O$2:$O$661</c:f>
              <c:numCache>
                <c:formatCode>General</c:formatCode>
                <c:ptCount val="6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0.03048</c:v>
                </c:pt>
                <c:pt idx="20">
                  <c:v>0.03048</c:v>
                </c:pt>
                <c:pt idx="21">
                  <c:v>0.12192</c:v>
                </c:pt>
                <c:pt idx="22">
                  <c:v>0.12192</c:v>
                </c:pt>
                <c:pt idx="23">
                  <c:v>0.27432</c:v>
                </c:pt>
                <c:pt idx="24">
                  <c:v>0.4572</c:v>
                </c:pt>
                <c:pt idx="25">
                  <c:v>0.4572</c:v>
                </c:pt>
                <c:pt idx="26">
                  <c:v>0.73152</c:v>
                </c:pt>
                <c:pt idx="27">
                  <c:v>1.0668</c:v>
                </c:pt>
                <c:pt idx="28">
                  <c:v>1.0668</c:v>
                </c:pt>
                <c:pt idx="29">
                  <c:v>1.46304</c:v>
                </c:pt>
                <c:pt idx="30">
                  <c:v>1.88976</c:v>
                </c:pt>
                <c:pt idx="31">
                  <c:v>1.88976</c:v>
                </c:pt>
                <c:pt idx="32">
                  <c:v>2.25552</c:v>
                </c:pt>
                <c:pt idx="33">
                  <c:v>2.5908</c:v>
                </c:pt>
                <c:pt idx="34">
                  <c:v>2.83464</c:v>
                </c:pt>
                <c:pt idx="35">
                  <c:v>2.98704</c:v>
                </c:pt>
                <c:pt idx="36">
                  <c:v>2.98704</c:v>
                </c:pt>
                <c:pt idx="37">
                  <c:v>3.07848</c:v>
                </c:pt>
                <c:pt idx="38">
                  <c:v>3.10896</c:v>
                </c:pt>
                <c:pt idx="39">
                  <c:v>3.10896</c:v>
                </c:pt>
                <c:pt idx="40">
                  <c:v>3.07848</c:v>
                </c:pt>
                <c:pt idx="41">
                  <c:v>3.048</c:v>
                </c:pt>
                <c:pt idx="42">
                  <c:v>3.048</c:v>
                </c:pt>
                <c:pt idx="43">
                  <c:v>3.048</c:v>
                </c:pt>
                <c:pt idx="44">
                  <c:v>3.01752</c:v>
                </c:pt>
                <c:pt idx="45">
                  <c:v>3.01752</c:v>
                </c:pt>
                <c:pt idx="46">
                  <c:v>3.01752</c:v>
                </c:pt>
                <c:pt idx="47">
                  <c:v>3.01752</c:v>
                </c:pt>
                <c:pt idx="48">
                  <c:v>3.01752</c:v>
                </c:pt>
                <c:pt idx="49">
                  <c:v>3.048</c:v>
                </c:pt>
                <c:pt idx="50">
                  <c:v>3.048</c:v>
                </c:pt>
                <c:pt idx="51">
                  <c:v>3.048</c:v>
                </c:pt>
                <c:pt idx="52">
                  <c:v>3.048</c:v>
                </c:pt>
                <c:pt idx="53">
                  <c:v>3.048</c:v>
                </c:pt>
                <c:pt idx="54">
                  <c:v>3.048</c:v>
                </c:pt>
                <c:pt idx="55">
                  <c:v>3.048</c:v>
                </c:pt>
                <c:pt idx="56">
                  <c:v>3.048</c:v>
                </c:pt>
                <c:pt idx="57">
                  <c:v>3.048</c:v>
                </c:pt>
                <c:pt idx="58">
                  <c:v>3.048</c:v>
                </c:pt>
                <c:pt idx="59">
                  <c:v>3.048</c:v>
                </c:pt>
                <c:pt idx="60">
                  <c:v>3.048</c:v>
                </c:pt>
                <c:pt idx="61">
                  <c:v>3.048</c:v>
                </c:pt>
                <c:pt idx="62">
                  <c:v>3.01752</c:v>
                </c:pt>
                <c:pt idx="63">
                  <c:v>3.01752</c:v>
                </c:pt>
                <c:pt idx="64">
                  <c:v>3.01752</c:v>
                </c:pt>
                <c:pt idx="65">
                  <c:v>3.048</c:v>
                </c:pt>
                <c:pt idx="66">
                  <c:v>3.01752</c:v>
                </c:pt>
                <c:pt idx="67">
                  <c:v>3.01752</c:v>
                </c:pt>
                <c:pt idx="68">
                  <c:v>3.01752</c:v>
                </c:pt>
                <c:pt idx="69">
                  <c:v>3.01752</c:v>
                </c:pt>
                <c:pt idx="70">
                  <c:v>3.01752</c:v>
                </c:pt>
                <c:pt idx="71">
                  <c:v>3.01752</c:v>
                </c:pt>
                <c:pt idx="72">
                  <c:v>3.048</c:v>
                </c:pt>
                <c:pt idx="73">
                  <c:v>3.01752</c:v>
                </c:pt>
                <c:pt idx="74">
                  <c:v>3.01752</c:v>
                </c:pt>
                <c:pt idx="75">
                  <c:v>3.01752</c:v>
                </c:pt>
                <c:pt idx="76">
                  <c:v>3.01752</c:v>
                </c:pt>
                <c:pt idx="77">
                  <c:v>3.048</c:v>
                </c:pt>
                <c:pt idx="78">
                  <c:v>3.048</c:v>
                </c:pt>
                <c:pt idx="79">
                  <c:v>3.01752</c:v>
                </c:pt>
                <c:pt idx="80">
                  <c:v>3.01752</c:v>
                </c:pt>
                <c:pt idx="81">
                  <c:v>3.01752</c:v>
                </c:pt>
                <c:pt idx="82">
                  <c:v>3.048</c:v>
                </c:pt>
                <c:pt idx="83">
                  <c:v>3.048</c:v>
                </c:pt>
                <c:pt idx="84">
                  <c:v>3.01752</c:v>
                </c:pt>
                <c:pt idx="85">
                  <c:v>3.01752</c:v>
                </c:pt>
                <c:pt idx="86">
                  <c:v>3.048</c:v>
                </c:pt>
                <c:pt idx="87">
                  <c:v>3.048</c:v>
                </c:pt>
                <c:pt idx="88">
                  <c:v>3.048</c:v>
                </c:pt>
                <c:pt idx="89">
                  <c:v>3.01752</c:v>
                </c:pt>
                <c:pt idx="90">
                  <c:v>3.01752</c:v>
                </c:pt>
                <c:pt idx="91">
                  <c:v>3.01752</c:v>
                </c:pt>
                <c:pt idx="92">
                  <c:v>3.048</c:v>
                </c:pt>
                <c:pt idx="93">
                  <c:v>3.048</c:v>
                </c:pt>
                <c:pt idx="94">
                  <c:v>3.01752</c:v>
                </c:pt>
                <c:pt idx="95">
                  <c:v>3.01752</c:v>
                </c:pt>
                <c:pt idx="96">
                  <c:v>3.01752</c:v>
                </c:pt>
                <c:pt idx="97">
                  <c:v>3.048</c:v>
                </c:pt>
                <c:pt idx="98">
                  <c:v>3.048</c:v>
                </c:pt>
                <c:pt idx="99">
                  <c:v>3.01752</c:v>
                </c:pt>
                <c:pt idx="100">
                  <c:v>3.01752</c:v>
                </c:pt>
                <c:pt idx="101">
                  <c:v>3.01752</c:v>
                </c:pt>
                <c:pt idx="102">
                  <c:v>3.048</c:v>
                </c:pt>
                <c:pt idx="103">
                  <c:v>3.048</c:v>
                </c:pt>
                <c:pt idx="104">
                  <c:v>3.01752</c:v>
                </c:pt>
                <c:pt idx="105">
                  <c:v>3.01752</c:v>
                </c:pt>
                <c:pt idx="106">
                  <c:v>3.048</c:v>
                </c:pt>
                <c:pt idx="107">
                  <c:v>3.048</c:v>
                </c:pt>
                <c:pt idx="108">
                  <c:v>3.048</c:v>
                </c:pt>
                <c:pt idx="109">
                  <c:v>3.01752</c:v>
                </c:pt>
                <c:pt idx="110">
                  <c:v>3.01752</c:v>
                </c:pt>
                <c:pt idx="111">
                  <c:v>3.048</c:v>
                </c:pt>
                <c:pt idx="112">
                  <c:v>3.048</c:v>
                </c:pt>
                <c:pt idx="113">
                  <c:v>3.048</c:v>
                </c:pt>
                <c:pt idx="114">
                  <c:v>3.01752</c:v>
                </c:pt>
                <c:pt idx="115">
                  <c:v>3.01752</c:v>
                </c:pt>
                <c:pt idx="116">
                  <c:v>3.01752</c:v>
                </c:pt>
                <c:pt idx="117">
                  <c:v>3.048</c:v>
                </c:pt>
                <c:pt idx="118">
                  <c:v>3.048</c:v>
                </c:pt>
                <c:pt idx="119">
                  <c:v>3.01752</c:v>
                </c:pt>
                <c:pt idx="120">
                  <c:v>3.01752</c:v>
                </c:pt>
                <c:pt idx="121">
                  <c:v>3.01752</c:v>
                </c:pt>
                <c:pt idx="122">
                  <c:v>3.048</c:v>
                </c:pt>
                <c:pt idx="123">
                  <c:v>3.048</c:v>
                </c:pt>
                <c:pt idx="124">
                  <c:v>3.048</c:v>
                </c:pt>
                <c:pt idx="125">
                  <c:v>3.048</c:v>
                </c:pt>
                <c:pt idx="126">
                  <c:v>3.048</c:v>
                </c:pt>
                <c:pt idx="127">
                  <c:v>3.048</c:v>
                </c:pt>
                <c:pt idx="128">
                  <c:v>3.048</c:v>
                </c:pt>
                <c:pt idx="129">
                  <c:v>3.01752</c:v>
                </c:pt>
                <c:pt idx="130">
                  <c:v>3.048</c:v>
                </c:pt>
                <c:pt idx="131">
                  <c:v>3.01752</c:v>
                </c:pt>
                <c:pt idx="132">
                  <c:v>3.01752</c:v>
                </c:pt>
                <c:pt idx="133">
                  <c:v>3.048</c:v>
                </c:pt>
                <c:pt idx="134">
                  <c:v>3.048</c:v>
                </c:pt>
                <c:pt idx="135">
                  <c:v>3.048</c:v>
                </c:pt>
                <c:pt idx="136">
                  <c:v>3.048</c:v>
                </c:pt>
                <c:pt idx="137">
                  <c:v>3.01752</c:v>
                </c:pt>
                <c:pt idx="138">
                  <c:v>3.048</c:v>
                </c:pt>
                <c:pt idx="139">
                  <c:v>3.048</c:v>
                </c:pt>
                <c:pt idx="140">
                  <c:v>3.01752</c:v>
                </c:pt>
                <c:pt idx="141">
                  <c:v>3.048</c:v>
                </c:pt>
                <c:pt idx="142">
                  <c:v>3.048</c:v>
                </c:pt>
                <c:pt idx="143">
                  <c:v>3.048</c:v>
                </c:pt>
                <c:pt idx="144">
                  <c:v>3.048</c:v>
                </c:pt>
                <c:pt idx="145">
                  <c:v>3.048</c:v>
                </c:pt>
                <c:pt idx="146">
                  <c:v>3.01752</c:v>
                </c:pt>
                <c:pt idx="147">
                  <c:v>3.048</c:v>
                </c:pt>
                <c:pt idx="148">
                  <c:v>3.048</c:v>
                </c:pt>
                <c:pt idx="149">
                  <c:v>3.048</c:v>
                </c:pt>
                <c:pt idx="150">
                  <c:v>3.048</c:v>
                </c:pt>
                <c:pt idx="151">
                  <c:v>3.048</c:v>
                </c:pt>
                <c:pt idx="152">
                  <c:v>3.01752</c:v>
                </c:pt>
                <c:pt idx="153">
                  <c:v>3.01752</c:v>
                </c:pt>
                <c:pt idx="154">
                  <c:v>3.048</c:v>
                </c:pt>
                <c:pt idx="155">
                  <c:v>3.048</c:v>
                </c:pt>
                <c:pt idx="156">
                  <c:v>3.048</c:v>
                </c:pt>
                <c:pt idx="157">
                  <c:v>3.048</c:v>
                </c:pt>
                <c:pt idx="158">
                  <c:v>3.048</c:v>
                </c:pt>
                <c:pt idx="159">
                  <c:v>3.01752</c:v>
                </c:pt>
                <c:pt idx="160">
                  <c:v>3.048</c:v>
                </c:pt>
                <c:pt idx="161">
                  <c:v>3.048</c:v>
                </c:pt>
                <c:pt idx="162">
                  <c:v>3.10896</c:v>
                </c:pt>
                <c:pt idx="163">
                  <c:v>3.68808</c:v>
                </c:pt>
                <c:pt idx="164">
                  <c:v>4.02336</c:v>
                </c:pt>
                <c:pt idx="165">
                  <c:v>4.02336</c:v>
                </c:pt>
                <c:pt idx="166">
                  <c:v>4.38912</c:v>
                </c:pt>
                <c:pt idx="167">
                  <c:v>4.84632</c:v>
                </c:pt>
                <c:pt idx="168">
                  <c:v>5.36448</c:v>
                </c:pt>
                <c:pt idx="169">
                  <c:v>5.9436</c:v>
                </c:pt>
                <c:pt idx="170">
                  <c:v>5.9436</c:v>
                </c:pt>
                <c:pt idx="171">
                  <c:v>6.58368</c:v>
                </c:pt>
                <c:pt idx="172">
                  <c:v>7.22376</c:v>
                </c:pt>
                <c:pt idx="173">
                  <c:v>7.86384</c:v>
                </c:pt>
                <c:pt idx="174">
                  <c:v>8.50392</c:v>
                </c:pt>
                <c:pt idx="175">
                  <c:v>9.144</c:v>
                </c:pt>
                <c:pt idx="176">
                  <c:v>9.144</c:v>
                </c:pt>
                <c:pt idx="177">
                  <c:v>9.7536</c:v>
                </c:pt>
                <c:pt idx="178">
                  <c:v>10.39368</c:v>
                </c:pt>
                <c:pt idx="179">
                  <c:v>10.39368</c:v>
                </c:pt>
                <c:pt idx="180">
                  <c:v>11.00328</c:v>
                </c:pt>
                <c:pt idx="181">
                  <c:v>11.00328</c:v>
                </c:pt>
                <c:pt idx="182">
                  <c:v>11.00328</c:v>
                </c:pt>
                <c:pt idx="183">
                  <c:v>11.64336</c:v>
                </c:pt>
                <c:pt idx="184">
                  <c:v>11.64336</c:v>
                </c:pt>
                <c:pt idx="185">
                  <c:v>12.25296</c:v>
                </c:pt>
                <c:pt idx="186">
                  <c:v>12.25296</c:v>
                </c:pt>
                <c:pt idx="187">
                  <c:v>12.89304</c:v>
                </c:pt>
                <c:pt idx="188">
                  <c:v>12.89304</c:v>
                </c:pt>
                <c:pt idx="189">
                  <c:v>13.50264</c:v>
                </c:pt>
                <c:pt idx="190">
                  <c:v>13.50264</c:v>
                </c:pt>
                <c:pt idx="191">
                  <c:v>14.14272</c:v>
                </c:pt>
                <c:pt idx="192">
                  <c:v>14.75232</c:v>
                </c:pt>
                <c:pt idx="193">
                  <c:v>14.75232</c:v>
                </c:pt>
                <c:pt idx="194">
                  <c:v>15.3924</c:v>
                </c:pt>
                <c:pt idx="195">
                  <c:v>16.002</c:v>
                </c:pt>
                <c:pt idx="196">
                  <c:v>16.64208</c:v>
                </c:pt>
                <c:pt idx="197">
                  <c:v>17.25168</c:v>
                </c:pt>
                <c:pt idx="198">
                  <c:v>17.25168</c:v>
                </c:pt>
                <c:pt idx="199">
                  <c:v>17.89176</c:v>
                </c:pt>
                <c:pt idx="200">
                  <c:v>18.50136</c:v>
                </c:pt>
                <c:pt idx="201">
                  <c:v>19.14144</c:v>
                </c:pt>
                <c:pt idx="202">
                  <c:v>19.75104</c:v>
                </c:pt>
                <c:pt idx="203">
                  <c:v>20.39112</c:v>
                </c:pt>
                <c:pt idx="204">
                  <c:v>21.00072</c:v>
                </c:pt>
                <c:pt idx="205">
                  <c:v>21.6408</c:v>
                </c:pt>
                <c:pt idx="206">
                  <c:v>22.2504</c:v>
                </c:pt>
                <c:pt idx="207">
                  <c:v>22.89048</c:v>
                </c:pt>
                <c:pt idx="208">
                  <c:v>22.89048</c:v>
                </c:pt>
                <c:pt idx="209">
                  <c:v>23.50008</c:v>
                </c:pt>
                <c:pt idx="210">
                  <c:v>24.14016</c:v>
                </c:pt>
                <c:pt idx="211">
                  <c:v>24.14016</c:v>
                </c:pt>
                <c:pt idx="212">
                  <c:v>24.74976</c:v>
                </c:pt>
                <c:pt idx="213">
                  <c:v>24.74976</c:v>
                </c:pt>
                <c:pt idx="214">
                  <c:v>25.38984</c:v>
                </c:pt>
                <c:pt idx="215">
                  <c:v>25.99944</c:v>
                </c:pt>
                <c:pt idx="216">
                  <c:v>25.99944</c:v>
                </c:pt>
                <c:pt idx="217">
                  <c:v>26.63952</c:v>
                </c:pt>
                <c:pt idx="218">
                  <c:v>27.24912</c:v>
                </c:pt>
                <c:pt idx="219">
                  <c:v>27.24912</c:v>
                </c:pt>
                <c:pt idx="220">
                  <c:v>27.8892</c:v>
                </c:pt>
                <c:pt idx="221">
                  <c:v>28.4988</c:v>
                </c:pt>
                <c:pt idx="222">
                  <c:v>29.13888</c:v>
                </c:pt>
                <c:pt idx="223">
                  <c:v>29.13888</c:v>
                </c:pt>
                <c:pt idx="224">
                  <c:v>29.74848</c:v>
                </c:pt>
                <c:pt idx="225">
                  <c:v>30.38856</c:v>
                </c:pt>
                <c:pt idx="226">
                  <c:v>30.38856</c:v>
                </c:pt>
                <c:pt idx="227">
                  <c:v>30.99816</c:v>
                </c:pt>
                <c:pt idx="228">
                  <c:v>31.63824</c:v>
                </c:pt>
                <c:pt idx="229">
                  <c:v>32.24784</c:v>
                </c:pt>
                <c:pt idx="230">
                  <c:v>32.24784</c:v>
                </c:pt>
                <c:pt idx="231">
                  <c:v>32.88792</c:v>
                </c:pt>
                <c:pt idx="232">
                  <c:v>32.88792</c:v>
                </c:pt>
                <c:pt idx="233">
                  <c:v>33.49752</c:v>
                </c:pt>
                <c:pt idx="234">
                  <c:v>34.1376</c:v>
                </c:pt>
                <c:pt idx="235">
                  <c:v>34.7472</c:v>
                </c:pt>
                <c:pt idx="236">
                  <c:v>34.7472</c:v>
                </c:pt>
                <c:pt idx="237">
                  <c:v>35.38728</c:v>
                </c:pt>
                <c:pt idx="238">
                  <c:v>35.99688</c:v>
                </c:pt>
                <c:pt idx="239">
                  <c:v>36.63696</c:v>
                </c:pt>
                <c:pt idx="240">
                  <c:v>37.24656</c:v>
                </c:pt>
                <c:pt idx="241">
                  <c:v>37.24656</c:v>
                </c:pt>
                <c:pt idx="242">
                  <c:v>37.88664</c:v>
                </c:pt>
                <c:pt idx="243">
                  <c:v>38.49624</c:v>
                </c:pt>
                <c:pt idx="244">
                  <c:v>38.49624</c:v>
                </c:pt>
                <c:pt idx="245">
                  <c:v>39.13632</c:v>
                </c:pt>
                <c:pt idx="246">
                  <c:v>39.13632</c:v>
                </c:pt>
                <c:pt idx="247">
                  <c:v>39.74592</c:v>
                </c:pt>
                <c:pt idx="248">
                  <c:v>40.386</c:v>
                </c:pt>
                <c:pt idx="249">
                  <c:v>40.9956</c:v>
                </c:pt>
                <c:pt idx="250">
                  <c:v>40.9956</c:v>
                </c:pt>
                <c:pt idx="251">
                  <c:v>41.63568</c:v>
                </c:pt>
                <c:pt idx="252">
                  <c:v>42.24528</c:v>
                </c:pt>
                <c:pt idx="253">
                  <c:v>42.8244</c:v>
                </c:pt>
                <c:pt idx="254">
                  <c:v>42.8244</c:v>
                </c:pt>
                <c:pt idx="255">
                  <c:v>43.31208</c:v>
                </c:pt>
                <c:pt idx="256">
                  <c:v>43.76928</c:v>
                </c:pt>
                <c:pt idx="257">
                  <c:v>43.76928</c:v>
                </c:pt>
                <c:pt idx="258">
                  <c:v>44.13504</c:v>
                </c:pt>
                <c:pt idx="259">
                  <c:v>44.43984</c:v>
                </c:pt>
                <c:pt idx="260">
                  <c:v>44.43984</c:v>
                </c:pt>
                <c:pt idx="261">
                  <c:v>44.68368</c:v>
                </c:pt>
                <c:pt idx="262">
                  <c:v>44.86656</c:v>
                </c:pt>
                <c:pt idx="263">
                  <c:v>44.86656</c:v>
                </c:pt>
                <c:pt idx="264">
                  <c:v>44.98848</c:v>
                </c:pt>
                <c:pt idx="265">
                  <c:v>44.98848</c:v>
                </c:pt>
                <c:pt idx="266">
                  <c:v>45.04944</c:v>
                </c:pt>
                <c:pt idx="267">
                  <c:v>45.04944</c:v>
                </c:pt>
                <c:pt idx="268">
                  <c:v>45.04944</c:v>
                </c:pt>
                <c:pt idx="269">
                  <c:v>45.01896</c:v>
                </c:pt>
                <c:pt idx="270">
                  <c:v>45.01896</c:v>
                </c:pt>
                <c:pt idx="271">
                  <c:v>45.01896</c:v>
                </c:pt>
                <c:pt idx="272">
                  <c:v>44.98848</c:v>
                </c:pt>
                <c:pt idx="273">
                  <c:v>44.98848</c:v>
                </c:pt>
                <c:pt idx="274">
                  <c:v>44.98848</c:v>
                </c:pt>
                <c:pt idx="275">
                  <c:v>44.98848</c:v>
                </c:pt>
                <c:pt idx="276">
                  <c:v>44.98848</c:v>
                </c:pt>
                <c:pt idx="277">
                  <c:v>44.98848</c:v>
                </c:pt>
                <c:pt idx="278">
                  <c:v>44.98848</c:v>
                </c:pt>
                <c:pt idx="279">
                  <c:v>44.98848</c:v>
                </c:pt>
                <c:pt idx="280">
                  <c:v>44.98848</c:v>
                </c:pt>
                <c:pt idx="281">
                  <c:v>44.98848</c:v>
                </c:pt>
                <c:pt idx="282">
                  <c:v>44.98848</c:v>
                </c:pt>
                <c:pt idx="283">
                  <c:v>44.98848</c:v>
                </c:pt>
                <c:pt idx="284">
                  <c:v>44.98848</c:v>
                </c:pt>
                <c:pt idx="285">
                  <c:v>44.98848</c:v>
                </c:pt>
                <c:pt idx="286">
                  <c:v>44.98848</c:v>
                </c:pt>
                <c:pt idx="287">
                  <c:v>44.98848</c:v>
                </c:pt>
                <c:pt idx="288">
                  <c:v>44.98848</c:v>
                </c:pt>
                <c:pt idx="289">
                  <c:v>45.01896</c:v>
                </c:pt>
                <c:pt idx="290">
                  <c:v>45.01896</c:v>
                </c:pt>
                <c:pt idx="291">
                  <c:v>45.01896</c:v>
                </c:pt>
                <c:pt idx="292">
                  <c:v>45.01896</c:v>
                </c:pt>
                <c:pt idx="293">
                  <c:v>44.98848</c:v>
                </c:pt>
                <c:pt idx="294">
                  <c:v>44.98848</c:v>
                </c:pt>
                <c:pt idx="295">
                  <c:v>44.98848</c:v>
                </c:pt>
                <c:pt idx="296">
                  <c:v>44.98848</c:v>
                </c:pt>
                <c:pt idx="297">
                  <c:v>44.98848</c:v>
                </c:pt>
                <c:pt idx="298">
                  <c:v>44.98848</c:v>
                </c:pt>
                <c:pt idx="299">
                  <c:v>44.98848</c:v>
                </c:pt>
                <c:pt idx="300">
                  <c:v>44.98848</c:v>
                </c:pt>
                <c:pt idx="301">
                  <c:v>44.98848</c:v>
                </c:pt>
                <c:pt idx="302">
                  <c:v>44.98848</c:v>
                </c:pt>
                <c:pt idx="303">
                  <c:v>44.98848</c:v>
                </c:pt>
                <c:pt idx="304">
                  <c:v>44.98848</c:v>
                </c:pt>
                <c:pt idx="305">
                  <c:v>44.98848</c:v>
                </c:pt>
                <c:pt idx="306">
                  <c:v>44.98848</c:v>
                </c:pt>
                <c:pt idx="307">
                  <c:v>44.98848</c:v>
                </c:pt>
                <c:pt idx="308">
                  <c:v>44.98848</c:v>
                </c:pt>
                <c:pt idx="309">
                  <c:v>44.98848</c:v>
                </c:pt>
                <c:pt idx="310">
                  <c:v>44.98848</c:v>
                </c:pt>
                <c:pt idx="311">
                  <c:v>44.98848</c:v>
                </c:pt>
                <c:pt idx="312">
                  <c:v>44.98848</c:v>
                </c:pt>
                <c:pt idx="313">
                  <c:v>44.98848</c:v>
                </c:pt>
                <c:pt idx="314">
                  <c:v>44.98848</c:v>
                </c:pt>
                <c:pt idx="315">
                  <c:v>44.98848</c:v>
                </c:pt>
                <c:pt idx="316">
                  <c:v>44.98848</c:v>
                </c:pt>
                <c:pt idx="317">
                  <c:v>44.98848</c:v>
                </c:pt>
                <c:pt idx="318">
                  <c:v>44.98848</c:v>
                </c:pt>
                <c:pt idx="319">
                  <c:v>44.98848</c:v>
                </c:pt>
                <c:pt idx="320">
                  <c:v>44.98848</c:v>
                </c:pt>
                <c:pt idx="321">
                  <c:v>44.98848</c:v>
                </c:pt>
                <c:pt idx="322">
                  <c:v>44.98848</c:v>
                </c:pt>
                <c:pt idx="323">
                  <c:v>44.98848</c:v>
                </c:pt>
                <c:pt idx="324">
                  <c:v>44.98848</c:v>
                </c:pt>
                <c:pt idx="325">
                  <c:v>44.98848</c:v>
                </c:pt>
                <c:pt idx="326">
                  <c:v>44.98848</c:v>
                </c:pt>
                <c:pt idx="327">
                  <c:v>44.98848</c:v>
                </c:pt>
                <c:pt idx="328">
                  <c:v>44.98848</c:v>
                </c:pt>
                <c:pt idx="329">
                  <c:v>44.98848</c:v>
                </c:pt>
                <c:pt idx="330">
                  <c:v>44.98848</c:v>
                </c:pt>
                <c:pt idx="331">
                  <c:v>44.98848</c:v>
                </c:pt>
                <c:pt idx="332">
                  <c:v>44.98848</c:v>
                </c:pt>
                <c:pt idx="333">
                  <c:v>44.98848</c:v>
                </c:pt>
                <c:pt idx="334">
                  <c:v>44.98848</c:v>
                </c:pt>
                <c:pt idx="335">
                  <c:v>44.98848</c:v>
                </c:pt>
                <c:pt idx="336">
                  <c:v>44.98848</c:v>
                </c:pt>
                <c:pt idx="337">
                  <c:v>44.98848</c:v>
                </c:pt>
                <c:pt idx="338">
                  <c:v>44.98848</c:v>
                </c:pt>
                <c:pt idx="339">
                  <c:v>44.98848</c:v>
                </c:pt>
                <c:pt idx="340">
                  <c:v>44.98848</c:v>
                </c:pt>
                <c:pt idx="341">
                  <c:v>44.98848</c:v>
                </c:pt>
                <c:pt idx="342">
                  <c:v>44.98848</c:v>
                </c:pt>
                <c:pt idx="343">
                  <c:v>44.98848</c:v>
                </c:pt>
                <c:pt idx="344">
                  <c:v>44.98848</c:v>
                </c:pt>
                <c:pt idx="345">
                  <c:v>44.98848</c:v>
                </c:pt>
                <c:pt idx="346">
                  <c:v>44.98848</c:v>
                </c:pt>
                <c:pt idx="347">
                  <c:v>44.98848</c:v>
                </c:pt>
                <c:pt idx="348">
                  <c:v>44.98848</c:v>
                </c:pt>
                <c:pt idx="349">
                  <c:v>44.98848</c:v>
                </c:pt>
                <c:pt idx="350">
                  <c:v>44.98848</c:v>
                </c:pt>
                <c:pt idx="351">
                  <c:v>44.98848</c:v>
                </c:pt>
                <c:pt idx="352">
                  <c:v>44.98848</c:v>
                </c:pt>
                <c:pt idx="353">
                  <c:v>44.98848</c:v>
                </c:pt>
                <c:pt idx="354">
                  <c:v>44.98848</c:v>
                </c:pt>
                <c:pt idx="355">
                  <c:v>44.98848</c:v>
                </c:pt>
                <c:pt idx="356">
                  <c:v>44.98848</c:v>
                </c:pt>
                <c:pt idx="357">
                  <c:v>44.98848</c:v>
                </c:pt>
                <c:pt idx="358">
                  <c:v>44.98848</c:v>
                </c:pt>
                <c:pt idx="359">
                  <c:v>44.98848</c:v>
                </c:pt>
                <c:pt idx="360">
                  <c:v>44.98848</c:v>
                </c:pt>
                <c:pt idx="361">
                  <c:v>44.98848</c:v>
                </c:pt>
                <c:pt idx="362">
                  <c:v>44.98848</c:v>
                </c:pt>
                <c:pt idx="363">
                  <c:v>44.98848</c:v>
                </c:pt>
                <c:pt idx="364">
                  <c:v>44.98848</c:v>
                </c:pt>
                <c:pt idx="365">
                  <c:v>44.98848</c:v>
                </c:pt>
                <c:pt idx="366">
                  <c:v>44.98848</c:v>
                </c:pt>
                <c:pt idx="367">
                  <c:v>44.98848</c:v>
                </c:pt>
                <c:pt idx="368">
                  <c:v>44.98848</c:v>
                </c:pt>
                <c:pt idx="369">
                  <c:v>44.98848</c:v>
                </c:pt>
                <c:pt idx="370">
                  <c:v>44.98848</c:v>
                </c:pt>
                <c:pt idx="371">
                  <c:v>44.98848</c:v>
                </c:pt>
                <c:pt idx="372">
                  <c:v>44.98848</c:v>
                </c:pt>
                <c:pt idx="373">
                  <c:v>44.98848</c:v>
                </c:pt>
                <c:pt idx="374">
                  <c:v>44.98848</c:v>
                </c:pt>
                <c:pt idx="375">
                  <c:v>44.98848</c:v>
                </c:pt>
                <c:pt idx="376">
                  <c:v>44.98848</c:v>
                </c:pt>
                <c:pt idx="377">
                  <c:v>44.98848</c:v>
                </c:pt>
                <c:pt idx="378">
                  <c:v>44.98848</c:v>
                </c:pt>
                <c:pt idx="379">
                  <c:v>44.98848</c:v>
                </c:pt>
                <c:pt idx="380">
                  <c:v>44.98848</c:v>
                </c:pt>
                <c:pt idx="381">
                  <c:v>44.98848</c:v>
                </c:pt>
                <c:pt idx="382">
                  <c:v>44.98848</c:v>
                </c:pt>
                <c:pt idx="383">
                  <c:v>44.98848</c:v>
                </c:pt>
                <c:pt idx="384">
                  <c:v>44.98848</c:v>
                </c:pt>
                <c:pt idx="385">
                  <c:v>44.98848</c:v>
                </c:pt>
                <c:pt idx="386">
                  <c:v>44.98848</c:v>
                </c:pt>
                <c:pt idx="387">
                  <c:v>44.98848</c:v>
                </c:pt>
                <c:pt idx="388">
                  <c:v>44.98848</c:v>
                </c:pt>
                <c:pt idx="389">
                  <c:v>44.98848</c:v>
                </c:pt>
                <c:pt idx="390">
                  <c:v>44.98848</c:v>
                </c:pt>
                <c:pt idx="391">
                  <c:v>44.98848</c:v>
                </c:pt>
                <c:pt idx="392">
                  <c:v>44.98848</c:v>
                </c:pt>
                <c:pt idx="393">
                  <c:v>44.98848</c:v>
                </c:pt>
                <c:pt idx="394">
                  <c:v>44.98848</c:v>
                </c:pt>
                <c:pt idx="395">
                  <c:v>44.98848</c:v>
                </c:pt>
                <c:pt idx="396">
                  <c:v>44.98848</c:v>
                </c:pt>
                <c:pt idx="397">
                  <c:v>44.98848</c:v>
                </c:pt>
                <c:pt idx="398">
                  <c:v>44.98848</c:v>
                </c:pt>
                <c:pt idx="399">
                  <c:v>44.98848</c:v>
                </c:pt>
                <c:pt idx="400">
                  <c:v>44.98848</c:v>
                </c:pt>
                <c:pt idx="401">
                  <c:v>44.98848</c:v>
                </c:pt>
                <c:pt idx="402">
                  <c:v>44.98848</c:v>
                </c:pt>
                <c:pt idx="403">
                  <c:v>44.98848</c:v>
                </c:pt>
                <c:pt idx="404">
                  <c:v>44.98848</c:v>
                </c:pt>
                <c:pt idx="405">
                  <c:v>44.98848</c:v>
                </c:pt>
                <c:pt idx="406">
                  <c:v>44.98848</c:v>
                </c:pt>
                <c:pt idx="407">
                  <c:v>44.98848</c:v>
                </c:pt>
                <c:pt idx="408">
                  <c:v>44.98848</c:v>
                </c:pt>
                <c:pt idx="409">
                  <c:v>44.98848</c:v>
                </c:pt>
                <c:pt idx="410">
                  <c:v>44.98848</c:v>
                </c:pt>
                <c:pt idx="411">
                  <c:v>44.98848</c:v>
                </c:pt>
                <c:pt idx="412">
                  <c:v>44.98848</c:v>
                </c:pt>
                <c:pt idx="413">
                  <c:v>44.98848</c:v>
                </c:pt>
                <c:pt idx="414">
                  <c:v>44.98848</c:v>
                </c:pt>
                <c:pt idx="415">
                  <c:v>44.98848</c:v>
                </c:pt>
                <c:pt idx="416">
                  <c:v>44.98848</c:v>
                </c:pt>
                <c:pt idx="417">
                  <c:v>44.98848</c:v>
                </c:pt>
                <c:pt idx="418">
                  <c:v>45.01896</c:v>
                </c:pt>
                <c:pt idx="419">
                  <c:v>45.01896</c:v>
                </c:pt>
                <c:pt idx="420">
                  <c:v>44.98848</c:v>
                </c:pt>
                <c:pt idx="421">
                  <c:v>44.98848</c:v>
                </c:pt>
                <c:pt idx="422">
                  <c:v>44.98848</c:v>
                </c:pt>
                <c:pt idx="423">
                  <c:v>44.98848</c:v>
                </c:pt>
                <c:pt idx="424">
                  <c:v>44.98848</c:v>
                </c:pt>
                <c:pt idx="425">
                  <c:v>44.98848</c:v>
                </c:pt>
                <c:pt idx="426">
                  <c:v>44.98848</c:v>
                </c:pt>
                <c:pt idx="427">
                  <c:v>44.98848</c:v>
                </c:pt>
                <c:pt idx="428">
                  <c:v>44.98848</c:v>
                </c:pt>
                <c:pt idx="429">
                  <c:v>44.98848</c:v>
                </c:pt>
                <c:pt idx="430">
                  <c:v>44.98848</c:v>
                </c:pt>
                <c:pt idx="431">
                  <c:v>44.98848</c:v>
                </c:pt>
                <c:pt idx="432">
                  <c:v>44.98848</c:v>
                </c:pt>
                <c:pt idx="433">
                  <c:v>44.98848</c:v>
                </c:pt>
                <c:pt idx="434">
                  <c:v>44.98848</c:v>
                </c:pt>
                <c:pt idx="435">
                  <c:v>44.98848</c:v>
                </c:pt>
                <c:pt idx="436">
                  <c:v>44.98848</c:v>
                </c:pt>
                <c:pt idx="437">
                  <c:v>44.98848</c:v>
                </c:pt>
                <c:pt idx="438">
                  <c:v>44.98848</c:v>
                </c:pt>
                <c:pt idx="439">
                  <c:v>44.98848</c:v>
                </c:pt>
                <c:pt idx="440">
                  <c:v>44.92752</c:v>
                </c:pt>
                <c:pt idx="441">
                  <c:v>44.83608</c:v>
                </c:pt>
                <c:pt idx="442">
                  <c:v>44.68368</c:v>
                </c:pt>
                <c:pt idx="443">
                  <c:v>44.43984</c:v>
                </c:pt>
                <c:pt idx="444">
                  <c:v>44.13504</c:v>
                </c:pt>
                <c:pt idx="445">
                  <c:v>43.76928</c:v>
                </c:pt>
                <c:pt idx="446">
                  <c:v>43.76928</c:v>
                </c:pt>
                <c:pt idx="447">
                  <c:v>43.40352</c:v>
                </c:pt>
                <c:pt idx="448">
                  <c:v>43.00728</c:v>
                </c:pt>
                <c:pt idx="449">
                  <c:v>42.61104</c:v>
                </c:pt>
                <c:pt idx="450">
                  <c:v>42.2148</c:v>
                </c:pt>
                <c:pt idx="451">
                  <c:v>42.2148</c:v>
                </c:pt>
                <c:pt idx="452">
                  <c:v>41.84904</c:v>
                </c:pt>
                <c:pt idx="453">
                  <c:v>41.48328</c:v>
                </c:pt>
                <c:pt idx="454">
                  <c:v>41.08704</c:v>
                </c:pt>
                <c:pt idx="455">
                  <c:v>40.72128</c:v>
                </c:pt>
                <c:pt idx="456">
                  <c:v>40.35552</c:v>
                </c:pt>
                <c:pt idx="457">
                  <c:v>39.59352</c:v>
                </c:pt>
                <c:pt idx="458">
                  <c:v>39.22776</c:v>
                </c:pt>
                <c:pt idx="459">
                  <c:v>38.862</c:v>
                </c:pt>
                <c:pt idx="460">
                  <c:v>38.46576</c:v>
                </c:pt>
                <c:pt idx="461">
                  <c:v>38.1</c:v>
                </c:pt>
                <c:pt idx="462">
                  <c:v>37.73424</c:v>
                </c:pt>
                <c:pt idx="463">
                  <c:v>37.338</c:v>
                </c:pt>
                <c:pt idx="464">
                  <c:v>37.338</c:v>
                </c:pt>
                <c:pt idx="465">
                  <c:v>36.97224</c:v>
                </c:pt>
                <c:pt idx="466">
                  <c:v>36.60648</c:v>
                </c:pt>
                <c:pt idx="467">
                  <c:v>36.24072</c:v>
                </c:pt>
                <c:pt idx="468">
                  <c:v>35.84448</c:v>
                </c:pt>
                <c:pt idx="469">
                  <c:v>35.47872</c:v>
                </c:pt>
                <c:pt idx="470">
                  <c:v>35.11296</c:v>
                </c:pt>
                <c:pt idx="471">
                  <c:v>34.71672</c:v>
                </c:pt>
                <c:pt idx="472">
                  <c:v>34.35096</c:v>
                </c:pt>
                <c:pt idx="473">
                  <c:v>34.35096</c:v>
                </c:pt>
                <c:pt idx="474">
                  <c:v>33.2232</c:v>
                </c:pt>
                <c:pt idx="475">
                  <c:v>32.85744</c:v>
                </c:pt>
                <c:pt idx="476">
                  <c:v>32.49168</c:v>
                </c:pt>
                <c:pt idx="477">
                  <c:v>32.09544</c:v>
                </c:pt>
                <c:pt idx="478">
                  <c:v>31.72968</c:v>
                </c:pt>
                <c:pt idx="479">
                  <c:v>31.36392</c:v>
                </c:pt>
                <c:pt idx="480">
                  <c:v>30.96768</c:v>
                </c:pt>
                <c:pt idx="481">
                  <c:v>30.96768</c:v>
                </c:pt>
                <c:pt idx="482">
                  <c:v>30.23616</c:v>
                </c:pt>
                <c:pt idx="483">
                  <c:v>30.23616</c:v>
                </c:pt>
                <c:pt idx="484">
                  <c:v>29.83992</c:v>
                </c:pt>
                <c:pt idx="485">
                  <c:v>29.47416</c:v>
                </c:pt>
                <c:pt idx="486">
                  <c:v>29.1084</c:v>
                </c:pt>
                <c:pt idx="487">
                  <c:v>28.74264</c:v>
                </c:pt>
                <c:pt idx="488">
                  <c:v>28.3464</c:v>
                </c:pt>
                <c:pt idx="489">
                  <c:v>27.98064</c:v>
                </c:pt>
                <c:pt idx="490">
                  <c:v>27.61488</c:v>
                </c:pt>
                <c:pt idx="491">
                  <c:v>27.21864</c:v>
                </c:pt>
                <c:pt idx="492">
                  <c:v>27.21864</c:v>
                </c:pt>
                <c:pt idx="493">
                  <c:v>26.85288</c:v>
                </c:pt>
                <c:pt idx="494">
                  <c:v>26.48712</c:v>
                </c:pt>
                <c:pt idx="495">
                  <c:v>26.09088</c:v>
                </c:pt>
                <c:pt idx="496">
                  <c:v>25.72512</c:v>
                </c:pt>
                <c:pt idx="497">
                  <c:v>25.35936</c:v>
                </c:pt>
                <c:pt idx="498">
                  <c:v>24.9936</c:v>
                </c:pt>
                <c:pt idx="499">
                  <c:v>24.59736</c:v>
                </c:pt>
                <c:pt idx="500">
                  <c:v>24.2316</c:v>
                </c:pt>
                <c:pt idx="501">
                  <c:v>23.83536</c:v>
                </c:pt>
                <c:pt idx="502">
                  <c:v>23.10384</c:v>
                </c:pt>
                <c:pt idx="503">
                  <c:v>22.73808</c:v>
                </c:pt>
                <c:pt idx="504">
                  <c:v>22.34184</c:v>
                </c:pt>
                <c:pt idx="505">
                  <c:v>22.34184</c:v>
                </c:pt>
                <c:pt idx="506">
                  <c:v>21.97608</c:v>
                </c:pt>
                <c:pt idx="507">
                  <c:v>21.61032</c:v>
                </c:pt>
                <c:pt idx="508">
                  <c:v>21.24456</c:v>
                </c:pt>
                <c:pt idx="509">
                  <c:v>21.24456</c:v>
                </c:pt>
                <c:pt idx="510">
                  <c:v>20.84832</c:v>
                </c:pt>
                <c:pt idx="511">
                  <c:v>20.48256</c:v>
                </c:pt>
                <c:pt idx="512">
                  <c:v>20.48256</c:v>
                </c:pt>
                <c:pt idx="513">
                  <c:v>20.08632</c:v>
                </c:pt>
                <c:pt idx="514">
                  <c:v>19.72056</c:v>
                </c:pt>
                <c:pt idx="515">
                  <c:v>19.72056</c:v>
                </c:pt>
                <c:pt idx="516">
                  <c:v>19.3548</c:v>
                </c:pt>
                <c:pt idx="517">
                  <c:v>18.98904</c:v>
                </c:pt>
                <c:pt idx="518">
                  <c:v>18.5928</c:v>
                </c:pt>
                <c:pt idx="519">
                  <c:v>18.22704</c:v>
                </c:pt>
                <c:pt idx="520">
                  <c:v>18.22704</c:v>
                </c:pt>
                <c:pt idx="521">
                  <c:v>17.86128</c:v>
                </c:pt>
                <c:pt idx="522">
                  <c:v>17.46504</c:v>
                </c:pt>
                <c:pt idx="523">
                  <c:v>17.09928</c:v>
                </c:pt>
                <c:pt idx="524">
                  <c:v>17.09928</c:v>
                </c:pt>
                <c:pt idx="525">
                  <c:v>16.73352</c:v>
                </c:pt>
                <c:pt idx="526">
                  <c:v>16.33728</c:v>
                </c:pt>
                <c:pt idx="527">
                  <c:v>15.97152</c:v>
                </c:pt>
                <c:pt idx="528">
                  <c:v>15.97152</c:v>
                </c:pt>
                <c:pt idx="529">
                  <c:v>15.60576</c:v>
                </c:pt>
                <c:pt idx="530">
                  <c:v>15.24</c:v>
                </c:pt>
                <c:pt idx="531">
                  <c:v>14.84376</c:v>
                </c:pt>
                <c:pt idx="532">
                  <c:v>14.478</c:v>
                </c:pt>
                <c:pt idx="533">
                  <c:v>14.11224</c:v>
                </c:pt>
                <c:pt idx="534">
                  <c:v>13.716</c:v>
                </c:pt>
                <c:pt idx="535">
                  <c:v>13.35024</c:v>
                </c:pt>
                <c:pt idx="536">
                  <c:v>12.98448</c:v>
                </c:pt>
                <c:pt idx="537">
                  <c:v>12.58824</c:v>
                </c:pt>
                <c:pt idx="538">
                  <c:v>12.22248</c:v>
                </c:pt>
                <c:pt idx="539">
                  <c:v>11.85672</c:v>
                </c:pt>
                <c:pt idx="540">
                  <c:v>11.49096</c:v>
                </c:pt>
                <c:pt idx="541">
                  <c:v>11.1252</c:v>
                </c:pt>
                <c:pt idx="542">
                  <c:v>10.78992</c:v>
                </c:pt>
                <c:pt idx="543">
                  <c:v>10.54608</c:v>
                </c:pt>
                <c:pt idx="544">
                  <c:v>10.3632</c:v>
                </c:pt>
                <c:pt idx="545">
                  <c:v>10.24128</c:v>
                </c:pt>
                <c:pt idx="546">
                  <c:v>10.11936</c:v>
                </c:pt>
                <c:pt idx="547">
                  <c:v>10.02792</c:v>
                </c:pt>
                <c:pt idx="548">
                  <c:v>9.906</c:v>
                </c:pt>
                <c:pt idx="549">
                  <c:v>9.78408</c:v>
                </c:pt>
                <c:pt idx="550">
                  <c:v>9.66216</c:v>
                </c:pt>
                <c:pt idx="551">
                  <c:v>9.54024</c:v>
                </c:pt>
                <c:pt idx="552">
                  <c:v>9.41832</c:v>
                </c:pt>
                <c:pt idx="553">
                  <c:v>9.2964</c:v>
                </c:pt>
                <c:pt idx="554">
                  <c:v>9.17448</c:v>
                </c:pt>
                <c:pt idx="555">
                  <c:v>9.05256</c:v>
                </c:pt>
                <c:pt idx="556">
                  <c:v>8.90016</c:v>
                </c:pt>
                <c:pt idx="557">
                  <c:v>8.77824</c:v>
                </c:pt>
                <c:pt idx="558">
                  <c:v>8.77824</c:v>
                </c:pt>
                <c:pt idx="559">
                  <c:v>8.65632</c:v>
                </c:pt>
                <c:pt idx="560">
                  <c:v>8.5344</c:v>
                </c:pt>
                <c:pt idx="561">
                  <c:v>8.41248</c:v>
                </c:pt>
                <c:pt idx="562">
                  <c:v>8.29056</c:v>
                </c:pt>
                <c:pt idx="563">
                  <c:v>8.16864</c:v>
                </c:pt>
                <c:pt idx="564">
                  <c:v>8.04672</c:v>
                </c:pt>
                <c:pt idx="565">
                  <c:v>7.9248</c:v>
                </c:pt>
                <c:pt idx="566">
                  <c:v>7.7724</c:v>
                </c:pt>
                <c:pt idx="567">
                  <c:v>7.65048</c:v>
                </c:pt>
                <c:pt idx="568">
                  <c:v>7.52856</c:v>
                </c:pt>
                <c:pt idx="569">
                  <c:v>7.40664</c:v>
                </c:pt>
                <c:pt idx="570">
                  <c:v>7.28472</c:v>
                </c:pt>
                <c:pt idx="571">
                  <c:v>7.1628</c:v>
                </c:pt>
                <c:pt idx="572">
                  <c:v>7.04088</c:v>
                </c:pt>
                <c:pt idx="573">
                  <c:v>7.04088</c:v>
                </c:pt>
                <c:pt idx="574">
                  <c:v>6.91896</c:v>
                </c:pt>
                <c:pt idx="575">
                  <c:v>6.79704</c:v>
                </c:pt>
                <c:pt idx="576">
                  <c:v>6.67512</c:v>
                </c:pt>
                <c:pt idx="577">
                  <c:v>6.52272</c:v>
                </c:pt>
                <c:pt idx="578">
                  <c:v>6.4008</c:v>
                </c:pt>
                <c:pt idx="579">
                  <c:v>6.27888</c:v>
                </c:pt>
                <c:pt idx="580">
                  <c:v>6.15696</c:v>
                </c:pt>
                <c:pt idx="581">
                  <c:v>6.03504</c:v>
                </c:pt>
                <c:pt idx="582">
                  <c:v>5.91312</c:v>
                </c:pt>
                <c:pt idx="583">
                  <c:v>5.7912</c:v>
                </c:pt>
                <c:pt idx="584">
                  <c:v>5.66928</c:v>
                </c:pt>
                <c:pt idx="585">
                  <c:v>5.51688</c:v>
                </c:pt>
                <c:pt idx="586">
                  <c:v>5.39496</c:v>
                </c:pt>
                <c:pt idx="587">
                  <c:v>5.27304</c:v>
                </c:pt>
                <c:pt idx="588">
                  <c:v>5.15112</c:v>
                </c:pt>
                <c:pt idx="589">
                  <c:v>5.15112</c:v>
                </c:pt>
                <c:pt idx="590">
                  <c:v>5.0292</c:v>
                </c:pt>
                <c:pt idx="591">
                  <c:v>4.90728</c:v>
                </c:pt>
                <c:pt idx="592">
                  <c:v>4.78536</c:v>
                </c:pt>
                <c:pt idx="593">
                  <c:v>4.66344</c:v>
                </c:pt>
                <c:pt idx="594">
                  <c:v>4.54152</c:v>
                </c:pt>
                <c:pt idx="595">
                  <c:v>4.4196</c:v>
                </c:pt>
                <c:pt idx="596">
                  <c:v>4.2672</c:v>
                </c:pt>
                <c:pt idx="597">
                  <c:v>4.14528</c:v>
                </c:pt>
                <c:pt idx="598">
                  <c:v>3.90144</c:v>
                </c:pt>
                <c:pt idx="599">
                  <c:v>3.90144</c:v>
                </c:pt>
                <c:pt idx="600">
                  <c:v>3.77952</c:v>
                </c:pt>
                <c:pt idx="601">
                  <c:v>3.6576</c:v>
                </c:pt>
                <c:pt idx="602">
                  <c:v>3.53568</c:v>
                </c:pt>
                <c:pt idx="603">
                  <c:v>3.41376</c:v>
                </c:pt>
                <c:pt idx="604">
                  <c:v>3.29184</c:v>
                </c:pt>
                <c:pt idx="605">
                  <c:v>3.16992</c:v>
                </c:pt>
                <c:pt idx="606">
                  <c:v>3.01752</c:v>
                </c:pt>
                <c:pt idx="607">
                  <c:v>2.8956</c:v>
                </c:pt>
                <c:pt idx="608">
                  <c:v>2.80416</c:v>
                </c:pt>
                <c:pt idx="609">
                  <c:v>2.65176</c:v>
                </c:pt>
                <c:pt idx="610">
                  <c:v>2.52984</c:v>
                </c:pt>
                <c:pt idx="611">
                  <c:v>2.40792</c:v>
                </c:pt>
                <c:pt idx="612">
                  <c:v>2.286</c:v>
                </c:pt>
                <c:pt idx="613">
                  <c:v>2.16408</c:v>
                </c:pt>
                <c:pt idx="614">
                  <c:v>2.16408</c:v>
                </c:pt>
                <c:pt idx="615">
                  <c:v>2.04216</c:v>
                </c:pt>
                <c:pt idx="616">
                  <c:v>1.92024</c:v>
                </c:pt>
                <c:pt idx="617">
                  <c:v>1.76784</c:v>
                </c:pt>
                <c:pt idx="618">
                  <c:v>1.64592</c:v>
                </c:pt>
                <c:pt idx="619">
                  <c:v>1.524</c:v>
                </c:pt>
                <c:pt idx="620">
                  <c:v>1.40208</c:v>
                </c:pt>
                <c:pt idx="621">
                  <c:v>1.28016</c:v>
                </c:pt>
                <c:pt idx="622">
                  <c:v>1.15824</c:v>
                </c:pt>
                <c:pt idx="623">
                  <c:v>1.03632</c:v>
                </c:pt>
                <c:pt idx="624">
                  <c:v>0.9144</c:v>
                </c:pt>
                <c:pt idx="625">
                  <c:v>0.79248</c:v>
                </c:pt>
                <c:pt idx="626">
                  <c:v>0.67056</c:v>
                </c:pt>
                <c:pt idx="627">
                  <c:v>0.54864</c:v>
                </c:pt>
                <c:pt idx="628">
                  <c:v>0.54864</c:v>
                </c:pt>
                <c:pt idx="629">
                  <c:v>0.39624</c:v>
                </c:pt>
                <c:pt idx="630">
                  <c:v>0.27432</c:v>
                </c:pt>
                <c:pt idx="631">
                  <c:v>0.1524</c:v>
                </c:pt>
                <c:pt idx="632">
                  <c:v>0.03048</c:v>
                </c:pt>
                <c:pt idx="633">
                  <c:v>0.03048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</c:numCache>
            </c:numRef>
          </c:yVal>
          <c:smooth val="1"/>
        </c:ser>
        <c:axId val="78841619"/>
        <c:axId val="91653221"/>
      </c:scatterChart>
      <c:valAx>
        <c:axId val="7884161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Час від армування, с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653221"/>
        <c:crosses val="autoZero"/>
        <c:crossBetween val="midCat"/>
      </c:valAx>
      <c:valAx>
        <c:axId val="916532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Висота, м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841619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Повітряна швидкість від часу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"Повітряна швидкість від часу"</c:f>
              <c:strCache>
                <c:ptCount val="1"/>
                <c:pt idx="0">
                  <c:v>Повітряна швидкість від часу</c:v>
                </c:pt>
              </c:strCache>
            </c:strRef>
          </c:tx>
          <c:spPr>
            <a:solidFill>
              <a:srgbClr val="98b855"/>
            </a:solidFill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CSV_QGC!$N$2:$N$661</c:f>
              <c:numCache>
                <c:formatCode>General</c:formatCode>
                <c:ptCount val="660"/>
                <c:pt idx="0">
                  <c:v>0</c:v>
                </c:pt>
                <c:pt idx="1">
                  <c:v>0.990999955</c:v>
                </c:pt>
                <c:pt idx="2">
                  <c:v>1.948999939</c:v>
                </c:pt>
                <c:pt idx="3">
                  <c:v>2.932000416</c:v>
                </c:pt>
                <c:pt idx="4">
                  <c:v>3.951999661</c:v>
                </c:pt>
                <c:pt idx="5">
                  <c:v>4.942000075</c:v>
                </c:pt>
                <c:pt idx="6">
                  <c:v>5.94299985</c:v>
                </c:pt>
                <c:pt idx="7">
                  <c:v>6.928999582</c:v>
                </c:pt>
                <c:pt idx="8">
                  <c:v>7.954999851</c:v>
                </c:pt>
                <c:pt idx="9">
                  <c:v>8.936999528</c:v>
                </c:pt>
                <c:pt idx="10">
                  <c:v>9.947999753</c:v>
                </c:pt>
                <c:pt idx="11">
                  <c:v>10.950999869</c:v>
                </c:pt>
                <c:pt idx="12">
                  <c:v>11.962999636</c:v>
                </c:pt>
                <c:pt idx="13">
                  <c:v>12.936999835</c:v>
                </c:pt>
                <c:pt idx="14">
                  <c:v>13.950999942</c:v>
                </c:pt>
                <c:pt idx="15">
                  <c:v>14.962000166</c:v>
                </c:pt>
                <c:pt idx="16">
                  <c:v>15.953999664</c:v>
                </c:pt>
                <c:pt idx="17">
                  <c:v>19.063000101</c:v>
                </c:pt>
                <c:pt idx="18">
                  <c:v>21.694000088</c:v>
                </c:pt>
                <c:pt idx="19">
                  <c:v>24.413</c:v>
                </c:pt>
                <c:pt idx="20">
                  <c:v>25.434999587</c:v>
                </c:pt>
                <c:pt idx="21">
                  <c:v>26.644999184</c:v>
                </c:pt>
                <c:pt idx="22">
                  <c:v>27.531000087</c:v>
                </c:pt>
                <c:pt idx="23">
                  <c:v>28.474000026</c:v>
                </c:pt>
                <c:pt idx="24">
                  <c:v>29.56699978</c:v>
                </c:pt>
                <c:pt idx="25">
                  <c:v>30.511000519</c:v>
                </c:pt>
                <c:pt idx="26">
                  <c:v>31.496999622</c:v>
                </c:pt>
                <c:pt idx="27">
                  <c:v>32.603999879</c:v>
                </c:pt>
                <c:pt idx="28">
                  <c:v>33.453999669</c:v>
                </c:pt>
                <c:pt idx="29">
                  <c:v>34.463999723</c:v>
                </c:pt>
                <c:pt idx="30">
                  <c:v>35.594000131</c:v>
                </c:pt>
                <c:pt idx="31">
                  <c:v>36.463000648</c:v>
                </c:pt>
                <c:pt idx="32">
                  <c:v>37.486999947</c:v>
                </c:pt>
                <c:pt idx="33">
                  <c:v>38.487999723</c:v>
                </c:pt>
                <c:pt idx="34">
                  <c:v>39.474999625</c:v>
                </c:pt>
                <c:pt idx="35">
                  <c:v>40.49699984</c:v>
                </c:pt>
                <c:pt idx="36">
                  <c:v>41.449000057</c:v>
                </c:pt>
                <c:pt idx="37">
                  <c:v>42.46699959</c:v>
                </c:pt>
                <c:pt idx="38">
                  <c:v>43.477999814</c:v>
                </c:pt>
                <c:pt idx="39">
                  <c:v>44.44900013</c:v>
                </c:pt>
                <c:pt idx="40">
                  <c:v>45.451999618</c:v>
                </c:pt>
                <c:pt idx="41">
                  <c:v>46.462999214</c:v>
                </c:pt>
                <c:pt idx="42">
                  <c:v>47.479999833</c:v>
                </c:pt>
                <c:pt idx="43">
                  <c:v>48.492999142</c:v>
                </c:pt>
                <c:pt idx="44">
                  <c:v>49.46699934</c:v>
                </c:pt>
                <c:pt idx="45">
                  <c:v>50.529000093</c:v>
                </c:pt>
                <c:pt idx="46">
                  <c:v>51.481999852</c:v>
                </c:pt>
                <c:pt idx="47">
                  <c:v>52.519999654</c:v>
                </c:pt>
                <c:pt idx="48">
                  <c:v>53.488000086</c:v>
                </c:pt>
                <c:pt idx="49">
                  <c:v>54.457998974</c:v>
                </c:pt>
                <c:pt idx="50">
                  <c:v>55.518000014</c:v>
                </c:pt>
                <c:pt idx="51">
                  <c:v>56.544999824</c:v>
                </c:pt>
                <c:pt idx="52">
                  <c:v>57.480999827</c:v>
                </c:pt>
                <c:pt idx="53">
                  <c:v>58.45799928</c:v>
                </c:pt>
                <c:pt idx="54">
                  <c:v>59.447999065</c:v>
                </c:pt>
                <c:pt idx="55">
                  <c:v>60.473999963</c:v>
                </c:pt>
                <c:pt idx="56">
                  <c:v>61.449999874</c:v>
                </c:pt>
                <c:pt idx="57">
                  <c:v>62.446000054</c:v>
                </c:pt>
                <c:pt idx="58">
                  <c:v>63.451000512</c:v>
                </c:pt>
                <c:pt idx="59">
                  <c:v>64.451000117</c:v>
                </c:pt>
                <c:pt idx="60">
                  <c:v>65.476999757</c:v>
                </c:pt>
                <c:pt idx="61">
                  <c:v>66.463999659</c:v>
                </c:pt>
                <c:pt idx="62">
                  <c:v>67.469000117</c:v>
                </c:pt>
                <c:pt idx="63">
                  <c:v>68.493000045</c:v>
                </c:pt>
                <c:pt idx="64">
                  <c:v>69.467999786</c:v>
                </c:pt>
                <c:pt idx="65">
                  <c:v>70.471000531</c:v>
                </c:pt>
                <c:pt idx="66">
                  <c:v>71.492000576</c:v>
                </c:pt>
                <c:pt idx="67">
                  <c:v>72.45899958</c:v>
                </c:pt>
                <c:pt idx="68">
                  <c:v>73.459999356</c:v>
                </c:pt>
                <c:pt idx="69">
                  <c:v>74.448000057</c:v>
                </c:pt>
                <c:pt idx="70">
                  <c:v>75.452999887</c:v>
                </c:pt>
                <c:pt idx="71">
                  <c:v>76.439999788</c:v>
                </c:pt>
                <c:pt idx="72">
                  <c:v>77.457000408</c:v>
                </c:pt>
                <c:pt idx="73">
                  <c:v>78.488999814</c:v>
                </c:pt>
                <c:pt idx="74">
                  <c:v>79.478000057</c:v>
                </c:pt>
                <c:pt idx="75">
                  <c:v>80.506000039</c:v>
                </c:pt>
                <c:pt idx="76">
                  <c:v>81.461999681</c:v>
                </c:pt>
                <c:pt idx="77">
                  <c:v>82.470999564</c:v>
                </c:pt>
                <c:pt idx="78">
                  <c:v>83.490000525</c:v>
                </c:pt>
                <c:pt idx="79">
                  <c:v>84.465999808</c:v>
                </c:pt>
                <c:pt idx="80">
                  <c:v>85.444999602</c:v>
                </c:pt>
                <c:pt idx="81">
                  <c:v>86.469000787</c:v>
                </c:pt>
                <c:pt idx="82">
                  <c:v>87.473999988</c:v>
                </c:pt>
                <c:pt idx="83">
                  <c:v>88.473999593</c:v>
                </c:pt>
                <c:pt idx="84">
                  <c:v>89.465999719</c:v>
                </c:pt>
                <c:pt idx="85">
                  <c:v>90.48500068</c:v>
                </c:pt>
                <c:pt idx="86">
                  <c:v>91.478999261</c:v>
                </c:pt>
                <c:pt idx="87">
                  <c:v>92.450999747</c:v>
                </c:pt>
                <c:pt idx="88">
                  <c:v>93.475999846</c:v>
                </c:pt>
                <c:pt idx="89">
                  <c:v>94.483999558</c:v>
                </c:pt>
                <c:pt idx="90">
                  <c:v>95.493999612</c:v>
                </c:pt>
                <c:pt idx="91">
                  <c:v>96.473999577</c:v>
                </c:pt>
                <c:pt idx="92">
                  <c:v>97.443999093</c:v>
                </c:pt>
                <c:pt idx="93">
                  <c:v>98.486999748</c:v>
                </c:pt>
                <c:pt idx="94">
                  <c:v>99.477000162</c:v>
                </c:pt>
                <c:pt idx="95">
                  <c:v>100.660999724</c:v>
                </c:pt>
                <c:pt idx="96">
                  <c:v>101.453999849</c:v>
                </c:pt>
                <c:pt idx="97">
                  <c:v>102.48199983</c:v>
                </c:pt>
                <c:pt idx="98">
                  <c:v>103.467000648</c:v>
                </c:pt>
                <c:pt idx="99">
                  <c:v>104.464999912</c:v>
                </c:pt>
                <c:pt idx="100">
                  <c:v>105.461000092</c:v>
                </c:pt>
                <c:pt idx="101">
                  <c:v>106.467999634</c:v>
                </c:pt>
                <c:pt idx="102">
                  <c:v>107.458000676</c:v>
                </c:pt>
                <c:pt idx="103">
                  <c:v>108.439999725</c:v>
                </c:pt>
                <c:pt idx="104">
                  <c:v>109.489000146</c:v>
                </c:pt>
                <c:pt idx="105">
                  <c:v>110.482999985</c:v>
                </c:pt>
                <c:pt idx="106">
                  <c:v>111.46199915</c:v>
                </c:pt>
                <c:pt idx="107">
                  <c:v>112.455999618</c:v>
                </c:pt>
                <c:pt idx="108">
                  <c:v>113.473000237</c:v>
                </c:pt>
                <c:pt idx="109">
                  <c:v>114.456998999</c:v>
                </c:pt>
                <c:pt idx="110">
                  <c:v>115.470999735</c:v>
                </c:pt>
                <c:pt idx="111">
                  <c:v>116.533000487</c:v>
                </c:pt>
                <c:pt idx="112">
                  <c:v>117.476999969</c:v>
                </c:pt>
                <c:pt idx="113">
                  <c:v>118.441999889</c:v>
                </c:pt>
                <c:pt idx="114">
                  <c:v>119.468000787</c:v>
                </c:pt>
                <c:pt idx="115">
                  <c:v>120.485999691</c:v>
                </c:pt>
                <c:pt idx="116">
                  <c:v>121.439998992</c:v>
                </c:pt>
                <c:pt idx="117">
                  <c:v>122.460999037</c:v>
                </c:pt>
                <c:pt idx="118">
                  <c:v>123.450000537</c:v>
                </c:pt>
                <c:pt idx="119">
                  <c:v>124.491999763</c:v>
                </c:pt>
                <c:pt idx="120">
                  <c:v>125.456000142</c:v>
                </c:pt>
                <c:pt idx="121">
                  <c:v>126.477999729</c:v>
                </c:pt>
                <c:pt idx="122">
                  <c:v>127.479000133</c:v>
                </c:pt>
                <c:pt idx="123">
                  <c:v>128.453999874</c:v>
                </c:pt>
                <c:pt idx="124">
                  <c:v>129.454999649</c:v>
                </c:pt>
                <c:pt idx="125">
                  <c:v>130.451999371</c:v>
                </c:pt>
                <c:pt idx="126">
                  <c:v>133.088999125</c:v>
                </c:pt>
                <c:pt idx="127">
                  <c:v>134.016000735</c:v>
                </c:pt>
                <c:pt idx="128">
                  <c:v>134.969000495</c:v>
                </c:pt>
                <c:pt idx="129">
                  <c:v>135.987999569</c:v>
                </c:pt>
                <c:pt idx="130">
                  <c:v>137.009999784</c:v>
                </c:pt>
                <c:pt idx="131">
                  <c:v>140.193000272</c:v>
                </c:pt>
                <c:pt idx="132">
                  <c:v>141.176000749</c:v>
                </c:pt>
                <c:pt idx="133">
                  <c:v>142.130999593</c:v>
                </c:pt>
                <c:pt idx="134">
                  <c:v>143.057000404</c:v>
                </c:pt>
                <c:pt idx="135">
                  <c:v>143.966999743</c:v>
                </c:pt>
                <c:pt idx="136">
                  <c:v>144.962999923</c:v>
                </c:pt>
                <c:pt idx="137">
                  <c:v>145.961999986</c:v>
                </c:pt>
                <c:pt idx="138">
                  <c:v>147.017999715</c:v>
                </c:pt>
                <c:pt idx="139">
                  <c:v>150.285998987</c:v>
                </c:pt>
                <c:pt idx="140">
                  <c:v>151.350998994</c:v>
                </c:pt>
                <c:pt idx="141">
                  <c:v>152.387999882</c:v>
                </c:pt>
                <c:pt idx="142">
                  <c:v>153.487000032</c:v>
                </c:pt>
                <c:pt idx="143">
                  <c:v>154.468999709</c:v>
                </c:pt>
                <c:pt idx="144">
                  <c:v>155.453999899</c:v>
                </c:pt>
                <c:pt idx="145">
                  <c:v>156.446998938</c:v>
                </c:pt>
                <c:pt idx="146">
                  <c:v>157.467998983</c:v>
                </c:pt>
                <c:pt idx="147">
                  <c:v>158.462000079</c:v>
                </c:pt>
                <c:pt idx="148">
                  <c:v>159.466999908</c:v>
                </c:pt>
                <c:pt idx="149">
                  <c:v>160.482999728</c:v>
                </c:pt>
                <c:pt idx="150">
                  <c:v>161.455999128</c:v>
                </c:pt>
                <c:pt idx="151">
                  <c:v>162.46499964</c:v>
                </c:pt>
                <c:pt idx="152">
                  <c:v>163.448999659</c:v>
                </c:pt>
                <c:pt idx="153">
                  <c:v>164.450000692</c:v>
                </c:pt>
                <c:pt idx="154">
                  <c:v>165.456999605</c:v>
                </c:pt>
                <c:pt idx="155">
                  <c:v>166.47899982</c:v>
                </c:pt>
                <c:pt idx="156">
                  <c:v>167.538998974</c:v>
                </c:pt>
                <c:pt idx="157">
                  <c:v>168.449999741</c:v>
                </c:pt>
                <c:pt idx="158">
                  <c:v>169.45499957</c:v>
                </c:pt>
                <c:pt idx="159">
                  <c:v>170.469999848</c:v>
                </c:pt>
                <c:pt idx="160">
                  <c:v>171.501999883</c:v>
                </c:pt>
                <c:pt idx="161">
                  <c:v>172.467999975</c:v>
                </c:pt>
                <c:pt idx="162">
                  <c:v>173.471000092</c:v>
                </c:pt>
                <c:pt idx="163">
                  <c:v>176.818999182</c:v>
                </c:pt>
                <c:pt idx="164">
                  <c:v>178.052999731</c:v>
                </c:pt>
                <c:pt idx="165">
                  <c:v>178.98599985</c:v>
                </c:pt>
                <c:pt idx="166">
                  <c:v>179.979999689</c:v>
                </c:pt>
                <c:pt idx="167">
                  <c:v>180.975000327</c:v>
                </c:pt>
                <c:pt idx="168">
                  <c:v>181.962999771</c:v>
                </c:pt>
                <c:pt idx="169">
                  <c:v>182.949999673</c:v>
                </c:pt>
                <c:pt idx="170">
                  <c:v>183.96299961</c:v>
                </c:pt>
                <c:pt idx="171">
                  <c:v>184.961999673</c:v>
                </c:pt>
                <c:pt idx="172">
                  <c:v>185.983999259</c:v>
                </c:pt>
                <c:pt idx="173">
                  <c:v>186.965999566</c:v>
                </c:pt>
                <c:pt idx="174">
                  <c:v>187.957000778</c:v>
                </c:pt>
                <c:pt idx="175">
                  <c:v>188.961999979</c:v>
                </c:pt>
                <c:pt idx="176">
                  <c:v>189.954999648</c:v>
                </c:pt>
                <c:pt idx="177">
                  <c:v>190.986000769</c:v>
                </c:pt>
                <c:pt idx="178">
                  <c:v>192.004999215</c:v>
                </c:pt>
                <c:pt idx="179">
                  <c:v>192.978999414</c:v>
                </c:pt>
                <c:pt idx="180">
                  <c:v>194.05500004</c:v>
                </c:pt>
                <c:pt idx="181">
                  <c:v>194.984999648</c:v>
                </c:pt>
                <c:pt idx="182">
                  <c:v>196.198000386</c:v>
                </c:pt>
                <c:pt idx="183">
                  <c:v>196.996999648</c:v>
                </c:pt>
                <c:pt idx="184">
                  <c:v>198.043000185</c:v>
                </c:pt>
                <c:pt idx="185">
                  <c:v>199.060999718</c:v>
                </c:pt>
                <c:pt idx="186">
                  <c:v>200.049999961</c:v>
                </c:pt>
                <c:pt idx="187">
                  <c:v>201.017999765</c:v>
                </c:pt>
                <c:pt idx="188">
                  <c:v>202.028999361</c:v>
                </c:pt>
                <c:pt idx="189">
                  <c:v>203.084999718</c:v>
                </c:pt>
                <c:pt idx="190">
                  <c:v>204.03999919</c:v>
                </c:pt>
                <c:pt idx="191">
                  <c:v>204.985999641</c:v>
                </c:pt>
                <c:pt idx="192">
                  <c:v>206.031000008</c:v>
                </c:pt>
                <c:pt idx="193">
                  <c:v>206.957999733</c:v>
                </c:pt>
                <c:pt idx="194">
                  <c:v>207.975999894</c:v>
                </c:pt>
                <c:pt idx="195">
                  <c:v>208.967999392</c:v>
                </c:pt>
                <c:pt idx="196">
                  <c:v>209.967000712</c:v>
                </c:pt>
                <c:pt idx="197">
                  <c:v>210.984000074</c:v>
                </c:pt>
                <c:pt idx="198">
                  <c:v>211.944999941</c:v>
                </c:pt>
                <c:pt idx="199">
                  <c:v>212.967000156</c:v>
                </c:pt>
                <c:pt idx="200">
                  <c:v>213.973000156</c:v>
                </c:pt>
                <c:pt idx="201">
                  <c:v>214.97999907</c:v>
                </c:pt>
                <c:pt idx="202">
                  <c:v>215.960999834</c:v>
                </c:pt>
                <c:pt idx="203">
                  <c:v>216.988999815</c:v>
                </c:pt>
                <c:pt idx="204">
                  <c:v>217.941999575</c:v>
                </c:pt>
                <c:pt idx="205">
                  <c:v>218.935999413</c:v>
                </c:pt>
                <c:pt idx="206">
                  <c:v>219.946000096</c:v>
                </c:pt>
                <c:pt idx="207">
                  <c:v>221.004999708</c:v>
                </c:pt>
                <c:pt idx="208">
                  <c:v>221.965000662</c:v>
                </c:pt>
                <c:pt idx="209">
                  <c:v>222.943000285</c:v>
                </c:pt>
                <c:pt idx="210">
                  <c:v>224.023999879</c:v>
                </c:pt>
                <c:pt idx="211">
                  <c:v>224.961000052</c:v>
                </c:pt>
                <c:pt idx="212">
                  <c:v>226.041999645</c:v>
                </c:pt>
                <c:pt idx="213">
                  <c:v>227.018999727</c:v>
                </c:pt>
                <c:pt idx="214">
                  <c:v>228.046999708</c:v>
                </c:pt>
                <c:pt idx="215">
                  <c:v>228.93899912</c:v>
                </c:pt>
                <c:pt idx="216">
                  <c:v>230.054999655</c:v>
                </c:pt>
                <c:pt idx="217">
                  <c:v>230.997999594</c:v>
                </c:pt>
                <c:pt idx="218">
                  <c:v>232.037999737</c:v>
                </c:pt>
                <c:pt idx="219">
                  <c:v>232.985999272</c:v>
                </c:pt>
                <c:pt idx="220">
                  <c:v>233.997000753</c:v>
                </c:pt>
                <c:pt idx="221">
                  <c:v>234.990999964</c:v>
                </c:pt>
                <c:pt idx="222">
                  <c:v>236.091999826</c:v>
                </c:pt>
                <c:pt idx="223">
                  <c:v>236.986999749</c:v>
                </c:pt>
                <c:pt idx="224">
                  <c:v>237.979000504</c:v>
                </c:pt>
                <c:pt idx="225">
                  <c:v>239.009999111</c:v>
                </c:pt>
                <c:pt idx="226">
                  <c:v>240.007999632</c:v>
                </c:pt>
                <c:pt idx="227">
                  <c:v>240.972000011</c:v>
                </c:pt>
                <c:pt idx="228">
                  <c:v>242.005999758</c:v>
                </c:pt>
                <c:pt idx="229">
                  <c:v>242.989999777</c:v>
                </c:pt>
                <c:pt idx="230">
                  <c:v>244.001000002</c:v>
                </c:pt>
                <c:pt idx="231">
                  <c:v>245.118000078</c:v>
                </c:pt>
                <c:pt idx="232">
                  <c:v>245.978999859</c:v>
                </c:pt>
                <c:pt idx="233">
                  <c:v>247.008000011</c:v>
                </c:pt>
                <c:pt idx="234">
                  <c:v>248.007999616</c:v>
                </c:pt>
                <c:pt idx="235">
                  <c:v>248.992999806</c:v>
                </c:pt>
                <c:pt idx="236">
                  <c:v>250.00400003</c:v>
                </c:pt>
                <c:pt idx="237">
                  <c:v>250.977000058</c:v>
                </c:pt>
                <c:pt idx="238">
                  <c:v>251.985000399</c:v>
                </c:pt>
                <c:pt idx="239">
                  <c:v>252.96999996</c:v>
                </c:pt>
                <c:pt idx="240">
                  <c:v>253.980000014</c:v>
                </c:pt>
                <c:pt idx="241">
                  <c:v>255.002000229</c:v>
                </c:pt>
                <c:pt idx="242">
                  <c:v>255.99699961</c:v>
                </c:pt>
                <c:pt idx="243">
                  <c:v>257.096999301</c:v>
                </c:pt>
                <c:pt idx="244">
                  <c:v>257.993998937</c:v>
                </c:pt>
                <c:pt idx="245">
                  <c:v>259.010000014</c:v>
                </c:pt>
                <c:pt idx="246">
                  <c:v>260.027000005</c:v>
                </c:pt>
                <c:pt idx="247">
                  <c:v>260.979999764</c:v>
                </c:pt>
                <c:pt idx="248">
                  <c:v>261.986999935</c:v>
                </c:pt>
                <c:pt idx="249">
                  <c:v>262.994999648</c:v>
                </c:pt>
                <c:pt idx="250">
                  <c:v>264</c:v>
                </c:pt>
                <c:pt idx="251">
                  <c:v>264.99799937</c:v>
                </c:pt>
                <c:pt idx="252">
                  <c:v>266.008000052</c:v>
                </c:pt>
                <c:pt idx="253">
                  <c:v>267.0419998</c:v>
                </c:pt>
                <c:pt idx="254">
                  <c:v>267.98700008</c:v>
                </c:pt>
                <c:pt idx="255">
                  <c:v>269.069999386</c:v>
                </c:pt>
                <c:pt idx="256">
                  <c:v>270.036999648</c:v>
                </c:pt>
                <c:pt idx="257">
                  <c:v>270.988999865</c:v>
                </c:pt>
                <c:pt idx="258">
                  <c:v>272.068999917</c:v>
                </c:pt>
                <c:pt idx="259">
                  <c:v>273.010999686</c:v>
                </c:pt>
                <c:pt idx="260">
                  <c:v>274.016000772</c:v>
                </c:pt>
                <c:pt idx="261">
                  <c:v>275.02799991</c:v>
                </c:pt>
                <c:pt idx="262">
                  <c:v>275.996999256</c:v>
                </c:pt>
                <c:pt idx="263">
                  <c:v>277.067999029</c:v>
                </c:pt>
                <c:pt idx="264">
                  <c:v>278.052999847</c:v>
                </c:pt>
                <c:pt idx="265">
                  <c:v>278.987000137</c:v>
                </c:pt>
                <c:pt idx="266">
                  <c:v>280.011000065</c:v>
                </c:pt>
                <c:pt idx="267">
                  <c:v>281.02400063</c:v>
                </c:pt>
                <c:pt idx="268">
                  <c:v>282.031999714</c:v>
                </c:pt>
                <c:pt idx="269">
                  <c:v>283.034999831</c:v>
                </c:pt>
                <c:pt idx="270">
                  <c:v>284.029999841</c:v>
                </c:pt>
                <c:pt idx="271">
                  <c:v>284.990999079</c:v>
                </c:pt>
                <c:pt idx="272">
                  <c:v>286.003000102</c:v>
                </c:pt>
                <c:pt idx="273">
                  <c:v>287.090999633</c:v>
                </c:pt>
                <c:pt idx="274">
                  <c:v>288.033999572</c:v>
                </c:pt>
                <c:pt idx="275">
                  <c:v>288.980999565</c:v>
                </c:pt>
                <c:pt idx="276">
                  <c:v>289.961000159</c:v>
                </c:pt>
                <c:pt idx="277">
                  <c:v>290.965999988</c:v>
                </c:pt>
                <c:pt idx="278">
                  <c:v>292.013000696</c:v>
                </c:pt>
                <c:pt idx="279">
                  <c:v>293.00100014</c:v>
                </c:pt>
                <c:pt idx="280">
                  <c:v>294.010000023</c:v>
                </c:pt>
                <c:pt idx="281">
                  <c:v>294.971000519</c:v>
                </c:pt>
                <c:pt idx="282">
                  <c:v>295.967998984</c:v>
                </c:pt>
                <c:pt idx="283">
                  <c:v>296.948999748</c:v>
                </c:pt>
                <c:pt idx="284">
                  <c:v>297.961000143</c:v>
                </c:pt>
                <c:pt idx="285">
                  <c:v>298.952000099</c:v>
                </c:pt>
                <c:pt idx="286">
                  <c:v>299.996999837</c:v>
                </c:pt>
                <c:pt idx="287">
                  <c:v>300.975999631</c:v>
                </c:pt>
                <c:pt idx="288">
                  <c:v>301.986999856</c:v>
                </c:pt>
                <c:pt idx="289">
                  <c:v>302.969999704</c:v>
                </c:pt>
                <c:pt idx="290">
                  <c:v>304.048000043</c:v>
                </c:pt>
                <c:pt idx="291">
                  <c:v>304.952000244</c:v>
                </c:pt>
                <c:pt idx="292">
                  <c:v>305.948000424</c:v>
                </c:pt>
                <c:pt idx="293">
                  <c:v>306.952999625</c:v>
                </c:pt>
                <c:pt idx="294">
                  <c:v>307.969000074</c:v>
                </c:pt>
                <c:pt idx="295">
                  <c:v>308.979000127</c:v>
                </c:pt>
                <c:pt idx="296">
                  <c:v>309.948999015</c:v>
                </c:pt>
                <c:pt idx="297">
                  <c:v>310.958000156</c:v>
                </c:pt>
                <c:pt idx="298">
                  <c:v>311.979999742</c:v>
                </c:pt>
                <c:pt idx="299">
                  <c:v>312.959000165</c:v>
                </c:pt>
                <c:pt idx="300">
                  <c:v>313.950000121</c:v>
                </c:pt>
                <c:pt idx="301">
                  <c:v>314.981999527</c:v>
                </c:pt>
                <c:pt idx="302">
                  <c:v>316.002999572</c:v>
                </c:pt>
                <c:pt idx="303">
                  <c:v>316.96599978</c:v>
                </c:pt>
                <c:pt idx="304">
                  <c:v>317.951999511</c:v>
                </c:pt>
                <c:pt idx="305">
                  <c:v>318.945999979</c:v>
                </c:pt>
                <c:pt idx="306">
                  <c:v>319.956999574</c:v>
                </c:pt>
                <c:pt idx="307">
                  <c:v>320.951999584</c:v>
                </c:pt>
                <c:pt idx="308">
                  <c:v>321.947999764</c:v>
                </c:pt>
                <c:pt idx="309">
                  <c:v>322.937000007</c:v>
                </c:pt>
                <c:pt idx="310">
                  <c:v>323.972999467</c:v>
                </c:pt>
                <c:pt idx="311">
                  <c:v>324.939999729</c:v>
                </c:pt>
                <c:pt idx="312">
                  <c:v>325.980999413</c:v>
                </c:pt>
                <c:pt idx="313">
                  <c:v>326.955999783</c:v>
                </c:pt>
                <c:pt idx="314">
                  <c:v>327.968000178</c:v>
                </c:pt>
                <c:pt idx="315">
                  <c:v>328.966000699</c:v>
                </c:pt>
                <c:pt idx="316">
                  <c:v>330.016999575</c:v>
                </c:pt>
                <c:pt idx="317">
                  <c:v>330.952000664</c:v>
                </c:pt>
                <c:pt idx="318">
                  <c:v>331.961000547</c:v>
                </c:pt>
                <c:pt idx="319">
                  <c:v>332.943999767</c:v>
                </c:pt>
                <c:pt idx="320">
                  <c:v>333.967000152</c:v>
                </c:pt>
                <c:pt idx="321">
                  <c:v>334.962999704</c:v>
                </c:pt>
                <c:pt idx="322">
                  <c:v>335.974000557</c:v>
                </c:pt>
                <c:pt idx="323">
                  <c:v>337.008999846</c:v>
                </c:pt>
                <c:pt idx="324">
                  <c:v>337.952999956</c:v>
                </c:pt>
                <c:pt idx="325">
                  <c:v>338.949999678</c:v>
                </c:pt>
                <c:pt idx="326">
                  <c:v>339.952999167</c:v>
                </c:pt>
                <c:pt idx="327">
                  <c:v>340.953999571</c:v>
                </c:pt>
                <c:pt idx="328">
                  <c:v>341.953999805</c:v>
                </c:pt>
                <c:pt idx="329">
                  <c:v>342.936999653</c:v>
                </c:pt>
                <c:pt idx="330">
                  <c:v>343.960000039</c:v>
                </c:pt>
                <c:pt idx="331">
                  <c:v>344.949999824</c:v>
                </c:pt>
                <c:pt idx="332">
                  <c:v>345.978999976</c:v>
                </c:pt>
                <c:pt idx="333">
                  <c:v>346.964000165</c:v>
                </c:pt>
                <c:pt idx="334">
                  <c:v>347.946999385</c:v>
                </c:pt>
                <c:pt idx="335">
                  <c:v>348.954000184</c:v>
                </c:pt>
                <c:pt idx="336">
                  <c:v>349.948000023</c:v>
                </c:pt>
                <c:pt idx="337">
                  <c:v>350.949999969</c:v>
                </c:pt>
                <c:pt idx="338">
                  <c:v>351.942000095</c:v>
                </c:pt>
                <c:pt idx="339">
                  <c:v>352.97199916</c:v>
                </c:pt>
                <c:pt idx="340">
                  <c:v>353.9479997</c:v>
                </c:pt>
                <c:pt idx="341">
                  <c:v>354.94399988</c:v>
                </c:pt>
                <c:pt idx="342">
                  <c:v>355.942999944</c:v>
                </c:pt>
                <c:pt idx="343">
                  <c:v>356.947999773</c:v>
                </c:pt>
                <c:pt idx="344">
                  <c:v>357.949000806</c:v>
                </c:pt>
                <c:pt idx="345">
                  <c:v>358.961000572</c:v>
                </c:pt>
                <c:pt idx="346">
                  <c:v>359.966999315</c:v>
                </c:pt>
                <c:pt idx="347">
                  <c:v>360.950999334</c:v>
                </c:pt>
                <c:pt idx="348">
                  <c:v>361.947000143</c:v>
                </c:pt>
                <c:pt idx="349">
                  <c:v>362.965000304</c:v>
                </c:pt>
                <c:pt idx="350">
                  <c:v>363.949999865</c:v>
                </c:pt>
                <c:pt idx="351">
                  <c:v>364.948999928</c:v>
                </c:pt>
                <c:pt idx="352">
                  <c:v>365.952999587</c:v>
                </c:pt>
                <c:pt idx="353">
                  <c:v>367.015999881</c:v>
                </c:pt>
                <c:pt idx="354">
                  <c:v>367.966999928</c:v>
                </c:pt>
                <c:pt idx="355">
                  <c:v>368.965999991</c:v>
                </c:pt>
                <c:pt idx="356">
                  <c:v>369.95000001</c:v>
                </c:pt>
                <c:pt idx="357">
                  <c:v>370.960999606</c:v>
                </c:pt>
                <c:pt idx="358">
                  <c:v>371.955998986</c:v>
                </c:pt>
                <c:pt idx="359">
                  <c:v>372.976000746</c:v>
                </c:pt>
                <c:pt idx="360">
                  <c:v>373.981999489</c:v>
                </c:pt>
                <c:pt idx="361">
                  <c:v>374.951999634</c:v>
                </c:pt>
                <c:pt idx="362">
                  <c:v>376.020999695</c:v>
                </c:pt>
                <c:pt idx="363">
                  <c:v>376.971999742</c:v>
                </c:pt>
                <c:pt idx="364">
                  <c:v>377.954000676</c:v>
                </c:pt>
                <c:pt idx="365">
                  <c:v>378.95199994</c:v>
                </c:pt>
                <c:pt idx="366">
                  <c:v>379.963000165</c:v>
                </c:pt>
                <c:pt idx="367">
                  <c:v>380.937999906</c:v>
                </c:pt>
                <c:pt idx="368">
                  <c:v>381.971999653</c:v>
                </c:pt>
                <c:pt idx="369">
                  <c:v>383.010000712</c:v>
                </c:pt>
                <c:pt idx="370">
                  <c:v>383.946999628</c:v>
                </c:pt>
                <c:pt idx="371">
                  <c:v>384.970000013</c:v>
                </c:pt>
                <c:pt idx="372">
                  <c:v>385.949000436</c:v>
                </c:pt>
                <c:pt idx="373">
                  <c:v>386.961999745</c:v>
                </c:pt>
                <c:pt idx="374">
                  <c:v>387.967999745</c:v>
                </c:pt>
                <c:pt idx="375">
                  <c:v>388.954999647</c:v>
                </c:pt>
                <c:pt idx="376">
                  <c:v>390.005999151</c:v>
                </c:pt>
                <c:pt idx="377">
                  <c:v>390.963999764</c:v>
                </c:pt>
                <c:pt idx="378">
                  <c:v>391.988999862</c:v>
                </c:pt>
                <c:pt idx="379">
                  <c:v>392.930999631</c:v>
                </c:pt>
                <c:pt idx="380">
                  <c:v>393.926999811</c:v>
                </c:pt>
                <c:pt idx="381">
                  <c:v>394.958999846</c:v>
                </c:pt>
                <c:pt idx="382">
                  <c:v>395.981000061</c:v>
                </c:pt>
                <c:pt idx="383">
                  <c:v>396.966999792</c:v>
                </c:pt>
                <c:pt idx="384">
                  <c:v>397.954999865</c:v>
                </c:pt>
                <c:pt idx="385">
                  <c:v>398.930999147</c:v>
                </c:pt>
                <c:pt idx="386">
                  <c:v>400.016000051</c:v>
                </c:pt>
                <c:pt idx="387">
                  <c:v>401.001000241</c:v>
                </c:pt>
                <c:pt idx="388">
                  <c:v>401.958000054</c:v>
                </c:pt>
                <c:pt idx="389">
                  <c:v>402.96999982</c:v>
                </c:pt>
                <c:pt idx="390">
                  <c:v>403.963999659</c:v>
                </c:pt>
                <c:pt idx="391">
                  <c:v>404.955999786</c:v>
                </c:pt>
                <c:pt idx="392">
                  <c:v>405.964999669</c:v>
                </c:pt>
                <c:pt idx="393">
                  <c:v>406.956999795</c:v>
                </c:pt>
                <c:pt idx="394">
                  <c:v>407.939999643</c:v>
                </c:pt>
                <c:pt idx="395">
                  <c:v>408.983000298</c:v>
                </c:pt>
                <c:pt idx="396">
                  <c:v>409.972999454</c:v>
                </c:pt>
                <c:pt idx="397">
                  <c:v>410.94399977</c:v>
                </c:pt>
                <c:pt idx="398">
                  <c:v>411.975999805</c:v>
                </c:pt>
                <c:pt idx="399">
                  <c:v>413.008000468</c:v>
                </c:pt>
                <c:pt idx="400">
                  <c:v>413.946000183</c:v>
                </c:pt>
                <c:pt idx="401">
                  <c:v>414.992999634</c:v>
                </c:pt>
                <c:pt idx="402">
                  <c:v>415.943000139</c:v>
                </c:pt>
                <c:pt idx="403">
                  <c:v>416.942999744</c:v>
                </c:pt>
                <c:pt idx="404">
                  <c:v>417.954999511</c:v>
                </c:pt>
                <c:pt idx="405">
                  <c:v>418.965999735</c:v>
                </c:pt>
                <c:pt idx="406">
                  <c:v>419.960000202</c:v>
                </c:pt>
                <c:pt idx="407">
                  <c:v>420.969000086</c:v>
                </c:pt>
                <c:pt idx="408">
                  <c:v>421.949998964</c:v>
                </c:pt>
                <c:pt idx="409">
                  <c:v>424.709999584</c:v>
                </c:pt>
                <c:pt idx="410">
                  <c:v>426.955999899</c:v>
                </c:pt>
                <c:pt idx="411">
                  <c:v>427.974999602</c:v>
                </c:pt>
                <c:pt idx="412">
                  <c:v>429.017999628</c:v>
                </c:pt>
                <c:pt idx="413">
                  <c:v>430.046999151</c:v>
                </c:pt>
                <c:pt idx="414">
                  <c:v>433.623000676</c:v>
                </c:pt>
                <c:pt idx="415">
                  <c:v>434.57899969</c:v>
                </c:pt>
                <c:pt idx="416">
                  <c:v>435.533999791</c:v>
                </c:pt>
                <c:pt idx="417">
                  <c:v>439.53699998</c:v>
                </c:pt>
                <c:pt idx="418">
                  <c:v>442.502999911</c:v>
                </c:pt>
                <c:pt idx="419">
                  <c:v>445.257999678</c:v>
                </c:pt>
                <c:pt idx="420">
                  <c:v>446.149999718</c:v>
                </c:pt>
                <c:pt idx="421">
                  <c:v>447.13699962</c:v>
                </c:pt>
                <c:pt idx="422">
                  <c:v>448.079999559</c:v>
                </c:pt>
                <c:pt idx="423">
                  <c:v>448.99600055</c:v>
                </c:pt>
                <c:pt idx="424">
                  <c:v>449.977000057</c:v>
                </c:pt>
                <c:pt idx="425">
                  <c:v>451.042000064</c:v>
                </c:pt>
                <c:pt idx="426">
                  <c:v>451.991000398</c:v>
                </c:pt>
                <c:pt idx="427">
                  <c:v>452.980000013</c:v>
                </c:pt>
                <c:pt idx="428">
                  <c:v>454.045998933</c:v>
                </c:pt>
                <c:pt idx="429">
                  <c:v>454.969999403</c:v>
                </c:pt>
                <c:pt idx="430">
                  <c:v>456.003999151</c:v>
                </c:pt>
                <c:pt idx="431">
                  <c:v>457.009999779</c:v>
                </c:pt>
                <c:pt idx="432">
                  <c:v>458.074000244</c:v>
                </c:pt>
                <c:pt idx="433">
                  <c:v>458.996999915</c:v>
                </c:pt>
                <c:pt idx="434">
                  <c:v>460.020999843</c:v>
                </c:pt>
                <c:pt idx="435">
                  <c:v>460.977999656</c:v>
                </c:pt>
                <c:pt idx="436">
                  <c:v>462.046999717</c:v>
                </c:pt>
                <c:pt idx="437">
                  <c:v>462.95299963</c:v>
                </c:pt>
                <c:pt idx="438">
                  <c:v>463.960999343</c:v>
                </c:pt>
                <c:pt idx="439">
                  <c:v>464.929999946</c:v>
                </c:pt>
                <c:pt idx="440">
                  <c:v>465.933999605</c:v>
                </c:pt>
                <c:pt idx="441">
                  <c:v>466.952999937</c:v>
                </c:pt>
                <c:pt idx="442">
                  <c:v>467.943999893</c:v>
                </c:pt>
                <c:pt idx="443">
                  <c:v>468.947000009</c:v>
                </c:pt>
                <c:pt idx="444">
                  <c:v>469.941000477</c:v>
                </c:pt>
                <c:pt idx="445">
                  <c:v>470.967000117</c:v>
                </c:pt>
                <c:pt idx="446">
                  <c:v>471.954999561</c:v>
                </c:pt>
                <c:pt idx="447">
                  <c:v>472.953000082</c:v>
                </c:pt>
                <c:pt idx="448">
                  <c:v>473.948999634</c:v>
                </c:pt>
                <c:pt idx="449">
                  <c:v>474.97199939</c:v>
                </c:pt>
                <c:pt idx="450">
                  <c:v>476.093999692</c:v>
                </c:pt>
                <c:pt idx="451">
                  <c:v>476.964999921</c:v>
                </c:pt>
                <c:pt idx="452">
                  <c:v>477.951999823</c:v>
                </c:pt>
                <c:pt idx="453">
                  <c:v>478.950999886</c:v>
                </c:pt>
                <c:pt idx="454">
                  <c:v>479.953000461</c:v>
                </c:pt>
                <c:pt idx="455">
                  <c:v>480.943000246</c:v>
                </c:pt>
                <c:pt idx="456">
                  <c:v>481.933999573</c:v>
                </c:pt>
                <c:pt idx="457">
                  <c:v>482.948000309</c:v>
                </c:pt>
                <c:pt idx="458">
                  <c:v>483.947000373</c:v>
                </c:pt>
                <c:pt idx="459">
                  <c:v>484.962999564</c:v>
                </c:pt>
                <c:pt idx="460">
                  <c:v>485.939999017</c:v>
                </c:pt>
                <c:pt idx="461">
                  <c:v>486.965999915</c:v>
                </c:pt>
                <c:pt idx="462">
                  <c:v>487.977000139</c:v>
                </c:pt>
                <c:pt idx="463">
                  <c:v>488.988999905</c:v>
                </c:pt>
                <c:pt idx="464">
                  <c:v>489.946999889</c:v>
                </c:pt>
                <c:pt idx="465">
                  <c:v>490.960999368</c:v>
                </c:pt>
                <c:pt idx="466">
                  <c:v>491.94799927</c:v>
                </c:pt>
                <c:pt idx="467">
                  <c:v>492.960999836</c:v>
                </c:pt>
                <c:pt idx="468">
                  <c:v>493.940999801</c:v>
                </c:pt>
                <c:pt idx="469">
                  <c:v>494.938000151</c:v>
                </c:pt>
                <c:pt idx="470">
                  <c:v>495.967000303</c:v>
                </c:pt>
                <c:pt idx="471">
                  <c:v>496.957000088</c:v>
                </c:pt>
                <c:pt idx="472">
                  <c:v>497.967000142</c:v>
                </c:pt>
                <c:pt idx="473">
                  <c:v>500.22299902</c:v>
                </c:pt>
                <c:pt idx="474">
                  <c:v>501.279000006</c:v>
                </c:pt>
                <c:pt idx="475">
                  <c:v>502.353999833</c:v>
                </c:pt>
                <c:pt idx="476">
                  <c:v>503.370000282</c:v>
                </c:pt>
                <c:pt idx="477">
                  <c:v>504.434000747</c:v>
                </c:pt>
                <c:pt idx="478">
                  <c:v>505.488000134</c:v>
                </c:pt>
                <c:pt idx="479">
                  <c:v>506.448999373</c:v>
                </c:pt>
                <c:pt idx="480">
                  <c:v>507.485000719</c:v>
                </c:pt>
                <c:pt idx="481">
                  <c:v>508.447999041</c:v>
                </c:pt>
                <c:pt idx="482">
                  <c:v>509.459000523</c:v>
                </c:pt>
                <c:pt idx="483">
                  <c:v>510.444000083</c:v>
                </c:pt>
                <c:pt idx="484">
                  <c:v>511.44600003</c:v>
                </c:pt>
                <c:pt idx="485">
                  <c:v>512.441000668</c:v>
                </c:pt>
                <c:pt idx="486">
                  <c:v>513.450000551</c:v>
                </c:pt>
                <c:pt idx="487">
                  <c:v>514.437999995</c:v>
                </c:pt>
                <c:pt idx="488">
                  <c:v>515.445999079</c:v>
                </c:pt>
                <c:pt idx="489">
                  <c:v>516.475999401</c:v>
                </c:pt>
                <c:pt idx="490">
                  <c:v>517.475999007</c:v>
                </c:pt>
                <c:pt idx="491">
                  <c:v>518.448999663</c:v>
                </c:pt>
                <c:pt idx="492">
                  <c:v>519.47099925</c:v>
                </c:pt>
                <c:pt idx="493">
                  <c:v>520.43800014</c:v>
                </c:pt>
                <c:pt idx="494">
                  <c:v>521.460999897</c:v>
                </c:pt>
                <c:pt idx="495">
                  <c:v>522.465999098</c:v>
                </c:pt>
                <c:pt idx="496">
                  <c:v>523.45499997</c:v>
                </c:pt>
                <c:pt idx="497">
                  <c:v>524.45100015</c:v>
                </c:pt>
                <c:pt idx="498">
                  <c:v>525.475999619</c:v>
                </c:pt>
                <c:pt idx="499">
                  <c:v>526.435999944</c:v>
                </c:pt>
                <c:pt idx="500">
                  <c:v>527.447000169</c:v>
                </c:pt>
                <c:pt idx="501">
                  <c:v>528.490000194</c:v>
                </c:pt>
                <c:pt idx="502">
                  <c:v>532.090000156</c:v>
                </c:pt>
                <c:pt idx="503">
                  <c:v>533.011999656</c:v>
                </c:pt>
                <c:pt idx="504">
                  <c:v>534.027999476</c:v>
                </c:pt>
                <c:pt idx="505">
                  <c:v>534.965000278</c:v>
                </c:pt>
                <c:pt idx="506">
                  <c:v>535.97199982</c:v>
                </c:pt>
                <c:pt idx="507">
                  <c:v>536.976999649</c:v>
                </c:pt>
                <c:pt idx="508">
                  <c:v>538.020999846</c:v>
                </c:pt>
                <c:pt idx="509">
                  <c:v>538.978000287</c:v>
                </c:pt>
                <c:pt idx="510">
                  <c:v>539.998000161</c:v>
                </c:pt>
                <c:pt idx="511">
                  <c:v>540.976999956</c:v>
                </c:pt>
                <c:pt idx="512">
                  <c:v>541.982000414</c:v>
                </c:pt>
                <c:pt idx="513">
                  <c:v>542.986000073</c:v>
                </c:pt>
                <c:pt idx="514">
                  <c:v>543.975999858</c:v>
                </c:pt>
                <c:pt idx="515">
                  <c:v>544.947999715</c:v>
                </c:pt>
                <c:pt idx="516">
                  <c:v>545.993999624</c:v>
                </c:pt>
                <c:pt idx="517">
                  <c:v>546.956999204</c:v>
                </c:pt>
                <c:pt idx="518">
                  <c:v>547.968000685</c:v>
                </c:pt>
                <c:pt idx="519">
                  <c:v>548.960999725</c:v>
                </c:pt>
                <c:pt idx="520">
                  <c:v>549.981999769</c:v>
                </c:pt>
                <c:pt idx="521">
                  <c:v>550.964000076</c:v>
                </c:pt>
                <c:pt idx="522">
                  <c:v>551.943999412</c:v>
                </c:pt>
                <c:pt idx="523">
                  <c:v>553.013000101</c:v>
                </c:pt>
                <c:pt idx="524">
                  <c:v>553.960999636</c:v>
                </c:pt>
                <c:pt idx="525">
                  <c:v>554.952999763</c:v>
                </c:pt>
                <c:pt idx="526">
                  <c:v>555.973999807</c:v>
                </c:pt>
                <c:pt idx="527">
                  <c:v>556.979999807</c:v>
                </c:pt>
                <c:pt idx="528">
                  <c:v>557.949999952</c:v>
                </c:pt>
                <c:pt idx="529">
                  <c:v>558.946999674</c:v>
                </c:pt>
                <c:pt idx="530">
                  <c:v>559.996000095</c:v>
                </c:pt>
                <c:pt idx="531">
                  <c:v>560.955999791</c:v>
                </c:pt>
                <c:pt idx="532">
                  <c:v>561.953999684</c:v>
                </c:pt>
                <c:pt idx="533">
                  <c:v>562.945999181</c:v>
                </c:pt>
                <c:pt idx="534">
                  <c:v>563.962999801</c:v>
                </c:pt>
                <c:pt idx="535">
                  <c:v>564.945000107</c:v>
                </c:pt>
                <c:pt idx="536">
                  <c:v>565.945999883</c:v>
                </c:pt>
                <c:pt idx="537">
                  <c:v>566.954999766</c:v>
                </c:pt>
                <c:pt idx="538">
                  <c:v>567.961000395</c:v>
                </c:pt>
                <c:pt idx="539">
                  <c:v>568.937999848</c:v>
                </c:pt>
                <c:pt idx="540">
                  <c:v>569.942000135</c:v>
                </c:pt>
                <c:pt idx="541">
                  <c:v>570.945999794</c:v>
                </c:pt>
                <c:pt idx="542">
                  <c:v>571.962999785</c:v>
                </c:pt>
                <c:pt idx="543">
                  <c:v>572.952000028</c:v>
                </c:pt>
                <c:pt idx="544">
                  <c:v>573.956999229</c:v>
                </c:pt>
                <c:pt idx="545">
                  <c:v>574.952999409</c:v>
                </c:pt>
                <c:pt idx="546">
                  <c:v>575.963999633</c:v>
                </c:pt>
                <c:pt idx="547">
                  <c:v>576.949999993</c:v>
                </c:pt>
                <c:pt idx="548">
                  <c:v>577.946000173</c:v>
                </c:pt>
                <c:pt idx="549">
                  <c:v>578.961999993</c:v>
                </c:pt>
                <c:pt idx="550">
                  <c:v>579.957000003</c:v>
                </c:pt>
                <c:pt idx="551">
                  <c:v>580.934000085</c:v>
                </c:pt>
                <c:pt idx="552">
                  <c:v>581.944000138</c:v>
                </c:pt>
                <c:pt idx="553">
                  <c:v>582.93999969</c:v>
                </c:pt>
                <c:pt idx="554">
                  <c:v>583.953999797</c:v>
                </c:pt>
                <c:pt idx="555">
                  <c:v>584.95199969</c:v>
                </c:pt>
                <c:pt idx="556">
                  <c:v>585.936000337</c:v>
                </c:pt>
                <c:pt idx="557">
                  <c:v>586.94199908</c:v>
                </c:pt>
                <c:pt idx="558">
                  <c:v>587.965000094</c:v>
                </c:pt>
                <c:pt idx="559">
                  <c:v>588.946999143</c:v>
                </c:pt>
                <c:pt idx="560">
                  <c:v>589.953999943</c:v>
                </c:pt>
                <c:pt idx="561">
                  <c:v>590.953000006</c:v>
                </c:pt>
                <c:pt idx="562">
                  <c:v>591.946999845</c:v>
                </c:pt>
                <c:pt idx="563">
                  <c:v>592.94699945</c:v>
                </c:pt>
                <c:pt idx="564">
                  <c:v>593.949000653</c:v>
                </c:pt>
                <c:pt idx="565">
                  <c:v>594.942999863</c:v>
                </c:pt>
                <c:pt idx="566">
                  <c:v>595.933999819</c:v>
                </c:pt>
                <c:pt idx="567">
                  <c:v>596.949000097</c:v>
                </c:pt>
                <c:pt idx="568">
                  <c:v>597.940000682</c:v>
                </c:pt>
                <c:pt idx="569">
                  <c:v>598.947999766</c:v>
                </c:pt>
                <c:pt idx="570">
                  <c:v>599.961999873</c:v>
                </c:pt>
                <c:pt idx="571">
                  <c:v>600.948000233</c:v>
                </c:pt>
                <c:pt idx="572">
                  <c:v>602</c:v>
                </c:pt>
                <c:pt idx="573">
                  <c:v>602.936999453</c:v>
                </c:pt>
                <c:pt idx="574">
                  <c:v>603.955999785</c:v>
                </c:pt>
                <c:pt idx="575">
                  <c:v>604.943999857</c:v>
                </c:pt>
                <c:pt idx="576">
                  <c:v>605.955999623</c:v>
                </c:pt>
                <c:pt idx="577">
                  <c:v>606.954999687</c:v>
                </c:pt>
                <c:pt idx="578">
                  <c:v>607.949999696</c:v>
                </c:pt>
                <c:pt idx="579">
                  <c:v>608.945999876</c:v>
                </c:pt>
                <c:pt idx="580">
                  <c:v>609.935999661</c:v>
                </c:pt>
                <c:pt idx="581">
                  <c:v>610.935999895</c:v>
                </c:pt>
                <c:pt idx="582">
                  <c:v>611.95800011</c:v>
                </c:pt>
                <c:pt idx="583">
                  <c:v>612.949000066</c:v>
                </c:pt>
                <c:pt idx="584">
                  <c:v>613.9479995</c:v>
                </c:pt>
                <c:pt idx="585">
                  <c:v>614.952999958</c:v>
                </c:pt>
                <c:pt idx="586">
                  <c:v>615.96200047</c:v>
                </c:pt>
                <c:pt idx="587">
                  <c:v>616.992999077</c:v>
                </c:pt>
                <c:pt idx="588">
                  <c:v>617.936999816</c:v>
                </c:pt>
                <c:pt idx="589">
                  <c:v>618.950999295</c:v>
                </c:pt>
                <c:pt idx="590">
                  <c:v>619.933999772</c:v>
                </c:pt>
                <c:pt idx="591">
                  <c:v>620.9400004</c:v>
                </c:pt>
                <c:pt idx="592">
                  <c:v>621.949000284</c:v>
                </c:pt>
                <c:pt idx="593">
                  <c:v>622.937999898</c:v>
                </c:pt>
                <c:pt idx="594">
                  <c:v>623.939999844</c:v>
                </c:pt>
                <c:pt idx="595">
                  <c:v>624.951999611</c:v>
                </c:pt>
                <c:pt idx="596">
                  <c:v>625.94699962</c:v>
                </c:pt>
                <c:pt idx="597">
                  <c:v>626.948000653</c:v>
                </c:pt>
                <c:pt idx="598">
                  <c:v>627.95899962</c:v>
                </c:pt>
                <c:pt idx="599">
                  <c:v>628.950999747</c:v>
                </c:pt>
                <c:pt idx="600">
                  <c:v>629.963000142</c:v>
                </c:pt>
                <c:pt idx="601">
                  <c:v>630.943999649</c:v>
                </c:pt>
                <c:pt idx="602">
                  <c:v>631.954999873</c:v>
                </c:pt>
                <c:pt idx="603">
                  <c:v>632.947000628</c:v>
                </c:pt>
                <c:pt idx="604">
                  <c:v>633.951999829</c:v>
                </c:pt>
                <c:pt idx="605">
                  <c:v>634.953999775</c:v>
                </c:pt>
                <c:pt idx="606">
                  <c:v>635.969999595</c:v>
                </c:pt>
                <c:pt idx="607">
                  <c:v>636.975000053</c:v>
                </c:pt>
                <c:pt idx="608">
                  <c:v>637.964999838</c:v>
                </c:pt>
                <c:pt idx="609">
                  <c:v>638.950000028</c:v>
                </c:pt>
                <c:pt idx="610">
                  <c:v>639.994999766</c:v>
                </c:pt>
                <c:pt idx="611">
                  <c:v>640.955999633</c:v>
                </c:pt>
                <c:pt idx="612">
                  <c:v>641.959999292</c:v>
                </c:pt>
                <c:pt idx="613">
                  <c:v>642.941000056</c:v>
                </c:pt>
                <c:pt idx="614">
                  <c:v>643.95899896</c:v>
                </c:pt>
                <c:pt idx="615">
                  <c:v>644.950999715</c:v>
                </c:pt>
                <c:pt idx="616">
                  <c:v>645.945000182</c:v>
                </c:pt>
                <c:pt idx="617">
                  <c:v>646.959999203</c:v>
                </c:pt>
                <c:pt idx="618">
                  <c:v>647.942000138</c:v>
                </c:pt>
                <c:pt idx="619">
                  <c:v>648.937999689</c:v>
                </c:pt>
                <c:pt idx="620">
                  <c:v>649.950000084</c:v>
                </c:pt>
                <c:pt idx="621">
                  <c:v>650.952000031</c:v>
                </c:pt>
                <c:pt idx="622">
                  <c:v>651.953999977</c:v>
                </c:pt>
                <c:pt idx="623">
                  <c:v>652.972000138</c:v>
                </c:pt>
                <c:pt idx="624">
                  <c:v>653.972999914</c:v>
                </c:pt>
                <c:pt idx="625">
                  <c:v>654.947000113</c:v>
                </c:pt>
                <c:pt idx="626">
                  <c:v>655.953000742</c:v>
                </c:pt>
                <c:pt idx="627">
                  <c:v>656.949999206</c:v>
                </c:pt>
                <c:pt idx="628">
                  <c:v>657.939998991</c:v>
                </c:pt>
                <c:pt idx="629">
                  <c:v>658.956000069</c:v>
                </c:pt>
                <c:pt idx="630">
                  <c:v>659.962999611</c:v>
                </c:pt>
                <c:pt idx="631">
                  <c:v>660.942999576</c:v>
                </c:pt>
                <c:pt idx="632">
                  <c:v>662.007999583</c:v>
                </c:pt>
                <c:pt idx="633">
                  <c:v>662.993999943</c:v>
                </c:pt>
                <c:pt idx="634">
                  <c:v>664.039999851</c:v>
                </c:pt>
                <c:pt idx="635">
                  <c:v>664.965999405</c:v>
                </c:pt>
                <c:pt idx="636">
                  <c:v>665.964999468</c:v>
                </c:pt>
                <c:pt idx="637">
                  <c:v>666.948999487</c:v>
                </c:pt>
                <c:pt idx="638">
                  <c:v>667.944999667</c:v>
                </c:pt>
                <c:pt idx="639">
                  <c:v>668.948999955</c:v>
                </c:pt>
                <c:pt idx="640">
                  <c:v>669.985999586</c:v>
                </c:pt>
                <c:pt idx="641">
                  <c:v>670.941999857</c:v>
                </c:pt>
                <c:pt idx="642">
                  <c:v>671.957000135</c:v>
                </c:pt>
                <c:pt idx="643">
                  <c:v>672.933999588</c:v>
                </c:pt>
                <c:pt idx="644">
                  <c:v>673.958000144</c:v>
                </c:pt>
                <c:pt idx="645">
                  <c:v>674.943999876</c:v>
                </c:pt>
                <c:pt idx="646">
                  <c:v>675.956999813</c:v>
                </c:pt>
                <c:pt idx="647">
                  <c:v>676.970000378</c:v>
                </c:pt>
                <c:pt idx="648">
                  <c:v>677.96399896</c:v>
                </c:pt>
                <c:pt idx="649">
                  <c:v>680.983000388</c:v>
                </c:pt>
                <c:pt idx="650">
                  <c:v>683.767999615</c:v>
                </c:pt>
                <c:pt idx="651">
                  <c:v>688.986999168</c:v>
                </c:pt>
                <c:pt idx="652">
                  <c:v>690.009000012</c:v>
                </c:pt>
                <c:pt idx="653">
                  <c:v>690.987999807</c:v>
                </c:pt>
                <c:pt idx="654">
                  <c:v>691.97700005</c:v>
                </c:pt>
                <c:pt idx="655">
                  <c:v>692.962999781</c:v>
                </c:pt>
                <c:pt idx="656">
                  <c:v>693.997000157</c:v>
                </c:pt>
                <c:pt idx="657">
                  <c:v>694.962000078</c:v>
                </c:pt>
                <c:pt idx="658">
                  <c:v>697.80499977</c:v>
                </c:pt>
                <c:pt idx="659">
                  <c:v>700.620999885</c:v>
                </c:pt>
              </c:numCache>
            </c:numRef>
          </c:xVal>
          <c:yVal>
            <c:numRef>
              <c:f>CSV_QGC!$P$2:$P$661</c:f>
              <c:numCache>
                <c:formatCode>General</c:formatCode>
                <c:ptCount val="6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0.044704</c:v>
                </c:pt>
                <c:pt idx="270">
                  <c:v>0.044704</c:v>
                </c:pt>
                <c:pt idx="271">
                  <c:v>0.089408</c:v>
                </c:pt>
                <c:pt idx="272">
                  <c:v>0.178816</c:v>
                </c:pt>
                <c:pt idx="273">
                  <c:v>0.178816</c:v>
                </c:pt>
                <c:pt idx="274">
                  <c:v>0.312928</c:v>
                </c:pt>
                <c:pt idx="275">
                  <c:v>0.312928</c:v>
                </c:pt>
                <c:pt idx="276">
                  <c:v>0.715264</c:v>
                </c:pt>
                <c:pt idx="277">
                  <c:v>0.938784</c:v>
                </c:pt>
                <c:pt idx="278">
                  <c:v>1.207008</c:v>
                </c:pt>
                <c:pt idx="279">
                  <c:v>1.475232</c:v>
                </c:pt>
                <c:pt idx="280">
                  <c:v>1.475232</c:v>
                </c:pt>
                <c:pt idx="281">
                  <c:v>2.145792</c:v>
                </c:pt>
                <c:pt idx="282">
                  <c:v>2.45872</c:v>
                </c:pt>
                <c:pt idx="283">
                  <c:v>2.771648</c:v>
                </c:pt>
                <c:pt idx="284">
                  <c:v>3.039872</c:v>
                </c:pt>
                <c:pt idx="285">
                  <c:v>3.397504</c:v>
                </c:pt>
                <c:pt idx="286">
                  <c:v>3.531616</c:v>
                </c:pt>
                <c:pt idx="287">
                  <c:v>3.621024</c:v>
                </c:pt>
                <c:pt idx="288">
                  <c:v>3.665728</c:v>
                </c:pt>
                <c:pt idx="289">
                  <c:v>3.755136</c:v>
                </c:pt>
                <c:pt idx="290">
                  <c:v>3.710432</c:v>
                </c:pt>
                <c:pt idx="291">
                  <c:v>3.710432</c:v>
                </c:pt>
                <c:pt idx="292">
                  <c:v>3.710432</c:v>
                </c:pt>
                <c:pt idx="293">
                  <c:v>3.710432</c:v>
                </c:pt>
                <c:pt idx="294">
                  <c:v>3.755136</c:v>
                </c:pt>
                <c:pt idx="295">
                  <c:v>3.79984</c:v>
                </c:pt>
                <c:pt idx="296">
                  <c:v>3.844544</c:v>
                </c:pt>
                <c:pt idx="297">
                  <c:v>3.889248</c:v>
                </c:pt>
                <c:pt idx="298">
                  <c:v>3.933952</c:v>
                </c:pt>
                <c:pt idx="299">
                  <c:v>3.933952</c:v>
                </c:pt>
                <c:pt idx="300">
                  <c:v>3.978656</c:v>
                </c:pt>
                <c:pt idx="301">
                  <c:v>3.978656</c:v>
                </c:pt>
                <c:pt idx="302">
                  <c:v>3.978656</c:v>
                </c:pt>
                <c:pt idx="303">
                  <c:v>3.978656</c:v>
                </c:pt>
                <c:pt idx="304">
                  <c:v>3.978656</c:v>
                </c:pt>
                <c:pt idx="305">
                  <c:v>3.978656</c:v>
                </c:pt>
                <c:pt idx="306">
                  <c:v>3.978656</c:v>
                </c:pt>
                <c:pt idx="307">
                  <c:v>3.978656</c:v>
                </c:pt>
                <c:pt idx="308">
                  <c:v>3.978656</c:v>
                </c:pt>
                <c:pt idx="309">
                  <c:v>3.978656</c:v>
                </c:pt>
                <c:pt idx="310">
                  <c:v>3.978656</c:v>
                </c:pt>
                <c:pt idx="311">
                  <c:v>3.978656</c:v>
                </c:pt>
                <c:pt idx="312">
                  <c:v>3.978656</c:v>
                </c:pt>
                <c:pt idx="313">
                  <c:v>3.978656</c:v>
                </c:pt>
                <c:pt idx="314">
                  <c:v>3.978656</c:v>
                </c:pt>
                <c:pt idx="315">
                  <c:v>3.978656</c:v>
                </c:pt>
                <c:pt idx="316">
                  <c:v>3.978656</c:v>
                </c:pt>
                <c:pt idx="317">
                  <c:v>3.978656</c:v>
                </c:pt>
                <c:pt idx="318">
                  <c:v>3.978656</c:v>
                </c:pt>
                <c:pt idx="319">
                  <c:v>3.978656</c:v>
                </c:pt>
                <c:pt idx="320">
                  <c:v>3.978656</c:v>
                </c:pt>
                <c:pt idx="321">
                  <c:v>3.978656</c:v>
                </c:pt>
                <c:pt idx="322">
                  <c:v>3.978656</c:v>
                </c:pt>
                <c:pt idx="323">
                  <c:v>3.978656</c:v>
                </c:pt>
                <c:pt idx="324">
                  <c:v>3.978656</c:v>
                </c:pt>
                <c:pt idx="325">
                  <c:v>3.978656</c:v>
                </c:pt>
                <c:pt idx="326">
                  <c:v>3.978656</c:v>
                </c:pt>
                <c:pt idx="327">
                  <c:v>3.978656</c:v>
                </c:pt>
                <c:pt idx="328">
                  <c:v>3.978656</c:v>
                </c:pt>
                <c:pt idx="329">
                  <c:v>3.978656</c:v>
                </c:pt>
                <c:pt idx="330">
                  <c:v>3.978656</c:v>
                </c:pt>
                <c:pt idx="331">
                  <c:v>3.978656</c:v>
                </c:pt>
                <c:pt idx="332">
                  <c:v>3.978656</c:v>
                </c:pt>
                <c:pt idx="333">
                  <c:v>3.978656</c:v>
                </c:pt>
                <c:pt idx="334">
                  <c:v>3.978656</c:v>
                </c:pt>
                <c:pt idx="335">
                  <c:v>3.978656</c:v>
                </c:pt>
                <c:pt idx="336">
                  <c:v>3.978656</c:v>
                </c:pt>
                <c:pt idx="337">
                  <c:v>3.978656</c:v>
                </c:pt>
                <c:pt idx="338">
                  <c:v>3.978656</c:v>
                </c:pt>
                <c:pt idx="339">
                  <c:v>3.978656</c:v>
                </c:pt>
                <c:pt idx="340">
                  <c:v>3.978656</c:v>
                </c:pt>
                <c:pt idx="341">
                  <c:v>3.978656</c:v>
                </c:pt>
                <c:pt idx="342">
                  <c:v>3.978656</c:v>
                </c:pt>
                <c:pt idx="343">
                  <c:v>3.978656</c:v>
                </c:pt>
                <c:pt idx="344">
                  <c:v>3.978656</c:v>
                </c:pt>
                <c:pt idx="345">
                  <c:v>3.978656</c:v>
                </c:pt>
                <c:pt idx="346">
                  <c:v>3.978656</c:v>
                </c:pt>
                <c:pt idx="347">
                  <c:v>3.978656</c:v>
                </c:pt>
                <c:pt idx="348">
                  <c:v>3.978656</c:v>
                </c:pt>
                <c:pt idx="349">
                  <c:v>3.978656</c:v>
                </c:pt>
                <c:pt idx="350">
                  <c:v>3.978656</c:v>
                </c:pt>
                <c:pt idx="351">
                  <c:v>3.978656</c:v>
                </c:pt>
                <c:pt idx="352">
                  <c:v>3.978656</c:v>
                </c:pt>
                <c:pt idx="353">
                  <c:v>3.978656</c:v>
                </c:pt>
                <c:pt idx="354">
                  <c:v>3.978656</c:v>
                </c:pt>
                <c:pt idx="355">
                  <c:v>3.978656</c:v>
                </c:pt>
                <c:pt idx="356">
                  <c:v>3.978656</c:v>
                </c:pt>
                <c:pt idx="357">
                  <c:v>3.978656</c:v>
                </c:pt>
                <c:pt idx="358">
                  <c:v>3.978656</c:v>
                </c:pt>
                <c:pt idx="359">
                  <c:v>3.978656</c:v>
                </c:pt>
                <c:pt idx="360">
                  <c:v>3.978656</c:v>
                </c:pt>
                <c:pt idx="361">
                  <c:v>3.978656</c:v>
                </c:pt>
                <c:pt idx="362">
                  <c:v>3.978656</c:v>
                </c:pt>
                <c:pt idx="363">
                  <c:v>3.978656</c:v>
                </c:pt>
                <c:pt idx="364">
                  <c:v>3.978656</c:v>
                </c:pt>
                <c:pt idx="365">
                  <c:v>3.978656</c:v>
                </c:pt>
                <c:pt idx="366">
                  <c:v>3.978656</c:v>
                </c:pt>
                <c:pt idx="367">
                  <c:v>3.978656</c:v>
                </c:pt>
                <c:pt idx="368">
                  <c:v>3.978656</c:v>
                </c:pt>
                <c:pt idx="369">
                  <c:v>3.978656</c:v>
                </c:pt>
                <c:pt idx="370">
                  <c:v>3.978656</c:v>
                </c:pt>
                <c:pt idx="371">
                  <c:v>3.978656</c:v>
                </c:pt>
                <c:pt idx="372">
                  <c:v>3.978656</c:v>
                </c:pt>
                <c:pt idx="373">
                  <c:v>3.978656</c:v>
                </c:pt>
                <c:pt idx="374">
                  <c:v>3.978656</c:v>
                </c:pt>
                <c:pt idx="375">
                  <c:v>3.978656</c:v>
                </c:pt>
                <c:pt idx="376">
                  <c:v>3.978656</c:v>
                </c:pt>
                <c:pt idx="377">
                  <c:v>3.978656</c:v>
                </c:pt>
                <c:pt idx="378">
                  <c:v>3.978656</c:v>
                </c:pt>
                <c:pt idx="379">
                  <c:v>3.978656</c:v>
                </c:pt>
                <c:pt idx="380">
                  <c:v>3.978656</c:v>
                </c:pt>
                <c:pt idx="381">
                  <c:v>3.978656</c:v>
                </c:pt>
                <c:pt idx="382">
                  <c:v>3.978656</c:v>
                </c:pt>
                <c:pt idx="383">
                  <c:v>3.978656</c:v>
                </c:pt>
                <c:pt idx="384">
                  <c:v>3.978656</c:v>
                </c:pt>
                <c:pt idx="385">
                  <c:v>3.978656</c:v>
                </c:pt>
                <c:pt idx="386">
                  <c:v>3.978656</c:v>
                </c:pt>
                <c:pt idx="387">
                  <c:v>3.978656</c:v>
                </c:pt>
                <c:pt idx="388">
                  <c:v>3.978656</c:v>
                </c:pt>
                <c:pt idx="389">
                  <c:v>3.978656</c:v>
                </c:pt>
                <c:pt idx="390">
                  <c:v>3.978656</c:v>
                </c:pt>
                <c:pt idx="391">
                  <c:v>3.978656</c:v>
                </c:pt>
                <c:pt idx="392">
                  <c:v>3.978656</c:v>
                </c:pt>
                <c:pt idx="393">
                  <c:v>3.978656</c:v>
                </c:pt>
                <c:pt idx="394">
                  <c:v>3.978656</c:v>
                </c:pt>
                <c:pt idx="395">
                  <c:v>3.978656</c:v>
                </c:pt>
                <c:pt idx="396">
                  <c:v>3.978656</c:v>
                </c:pt>
                <c:pt idx="397">
                  <c:v>3.978656</c:v>
                </c:pt>
                <c:pt idx="398">
                  <c:v>3.978656</c:v>
                </c:pt>
                <c:pt idx="399">
                  <c:v>3.978656</c:v>
                </c:pt>
                <c:pt idx="400">
                  <c:v>3.978656</c:v>
                </c:pt>
                <c:pt idx="401">
                  <c:v>3.978656</c:v>
                </c:pt>
                <c:pt idx="402">
                  <c:v>3.978656</c:v>
                </c:pt>
                <c:pt idx="403">
                  <c:v>3.978656</c:v>
                </c:pt>
                <c:pt idx="404">
                  <c:v>3.978656</c:v>
                </c:pt>
                <c:pt idx="405">
                  <c:v>3.978656</c:v>
                </c:pt>
                <c:pt idx="406">
                  <c:v>3.978656</c:v>
                </c:pt>
                <c:pt idx="407">
                  <c:v>3.978656</c:v>
                </c:pt>
                <c:pt idx="408">
                  <c:v>3.978656</c:v>
                </c:pt>
                <c:pt idx="409">
                  <c:v>3.978656</c:v>
                </c:pt>
                <c:pt idx="410">
                  <c:v>3.978656</c:v>
                </c:pt>
                <c:pt idx="411">
                  <c:v>3.978656</c:v>
                </c:pt>
                <c:pt idx="412">
                  <c:v>3.978656</c:v>
                </c:pt>
                <c:pt idx="413">
                  <c:v>3.978656</c:v>
                </c:pt>
                <c:pt idx="414">
                  <c:v>3.978656</c:v>
                </c:pt>
                <c:pt idx="415">
                  <c:v>3.978656</c:v>
                </c:pt>
                <c:pt idx="416">
                  <c:v>3.933952</c:v>
                </c:pt>
                <c:pt idx="417">
                  <c:v>3.621024</c:v>
                </c:pt>
                <c:pt idx="418">
                  <c:v>3.173984</c:v>
                </c:pt>
                <c:pt idx="419">
                  <c:v>2.145792</c:v>
                </c:pt>
                <c:pt idx="420">
                  <c:v>1.296416</c:v>
                </c:pt>
                <c:pt idx="421">
                  <c:v>0.938784</c:v>
                </c:pt>
                <c:pt idx="422">
                  <c:v>0.938784</c:v>
                </c:pt>
                <c:pt idx="423">
                  <c:v>0.402336</c:v>
                </c:pt>
                <c:pt idx="424">
                  <c:v>0.268224</c:v>
                </c:pt>
                <c:pt idx="425">
                  <c:v>0.268224</c:v>
                </c:pt>
                <c:pt idx="426">
                  <c:v>0.134112</c:v>
                </c:pt>
                <c:pt idx="427">
                  <c:v>0.044704</c:v>
                </c:pt>
                <c:pt idx="428">
                  <c:v>0</c:v>
                </c:pt>
                <c:pt idx="429">
                  <c:v>0</c:v>
                </c:pt>
                <c:pt idx="430">
                  <c:v>0.044704</c:v>
                </c:pt>
                <c:pt idx="431">
                  <c:v>0.044704</c:v>
                </c:pt>
                <c:pt idx="432">
                  <c:v>0.089408</c:v>
                </c:pt>
                <c:pt idx="433">
                  <c:v>0.089408</c:v>
                </c:pt>
                <c:pt idx="434">
                  <c:v>0.134112</c:v>
                </c:pt>
                <c:pt idx="435">
                  <c:v>0.134112</c:v>
                </c:pt>
                <c:pt idx="436">
                  <c:v>0.134112</c:v>
                </c:pt>
                <c:pt idx="437">
                  <c:v>0.134112</c:v>
                </c:pt>
                <c:pt idx="438">
                  <c:v>0.089408</c:v>
                </c:pt>
                <c:pt idx="439">
                  <c:v>0.044704</c:v>
                </c:pt>
                <c:pt idx="440">
                  <c:v>0</c:v>
                </c:pt>
                <c:pt idx="441">
                  <c:v>0.044704</c:v>
                </c:pt>
                <c:pt idx="442">
                  <c:v>0.044704</c:v>
                </c:pt>
                <c:pt idx="443">
                  <c:v>0.044704</c:v>
                </c:pt>
                <c:pt idx="444">
                  <c:v>0.044704</c:v>
                </c:pt>
                <c:pt idx="445">
                  <c:v>0.044704</c:v>
                </c:pt>
                <c:pt idx="446">
                  <c:v>0.044704</c:v>
                </c:pt>
                <c:pt idx="447">
                  <c:v>0.044704</c:v>
                </c:pt>
                <c:pt idx="448">
                  <c:v>0.044704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</c:numCache>
            </c:numRef>
          </c:yVal>
          <c:smooth val="1"/>
        </c:ser>
        <c:axId val="26938430"/>
        <c:axId val="48519327"/>
      </c:scatterChart>
      <c:valAx>
        <c:axId val="2693843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Час від армування, с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519327"/>
        <c:crosses val="autoZero"/>
        <c:crossBetween val="midCat"/>
      </c:valAx>
      <c:valAx>
        <c:axId val="485193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м/с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938430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Наземна швидкість від часу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"Наземна швидкість від часу"</c:f>
              <c:strCache>
                <c:ptCount val="1"/>
                <c:pt idx="0">
                  <c:v>Наземна швидкість від часу</c:v>
                </c:pt>
              </c:strCache>
            </c:strRef>
          </c:tx>
          <c:spPr>
            <a:solidFill>
              <a:srgbClr val="98b855"/>
            </a:solidFill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CSV_QGC!$N$2:$N$661</c:f>
              <c:numCache>
                <c:formatCode>General</c:formatCode>
                <c:ptCount val="660"/>
                <c:pt idx="0">
                  <c:v>0</c:v>
                </c:pt>
                <c:pt idx="1">
                  <c:v>0.990999955</c:v>
                </c:pt>
                <c:pt idx="2">
                  <c:v>1.948999939</c:v>
                </c:pt>
                <c:pt idx="3">
                  <c:v>2.932000416</c:v>
                </c:pt>
                <c:pt idx="4">
                  <c:v>3.951999661</c:v>
                </c:pt>
                <c:pt idx="5">
                  <c:v>4.942000075</c:v>
                </c:pt>
                <c:pt idx="6">
                  <c:v>5.94299985</c:v>
                </c:pt>
                <c:pt idx="7">
                  <c:v>6.928999582</c:v>
                </c:pt>
                <c:pt idx="8">
                  <c:v>7.954999851</c:v>
                </c:pt>
                <c:pt idx="9">
                  <c:v>8.936999528</c:v>
                </c:pt>
                <c:pt idx="10">
                  <c:v>9.947999753</c:v>
                </c:pt>
                <c:pt idx="11">
                  <c:v>10.950999869</c:v>
                </c:pt>
                <c:pt idx="12">
                  <c:v>11.962999636</c:v>
                </c:pt>
                <c:pt idx="13">
                  <c:v>12.936999835</c:v>
                </c:pt>
                <c:pt idx="14">
                  <c:v>13.950999942</c:v>
                </c:pt>
                <c:pt idx="15">
                  <c:v>14.962000166</c:v>
                </c:pt>
                <c:pt idx="16">
                  <c:v>15.953999664</c:v>
                </c:pt>
                <c:pt idx="17">
                  <c:v>19.063000101</c:v>
                </c:pt>
                <c:pt idx="18">
                  <c:v>21.694000088</c:v>
                </c:pt>
                <c:pt idx="19">
                  <c:v>24.413</c:v>
                </c:pt>
                <c:pt idx="20">
                  <c:v>25.434999587</c:v>
                </c:pt>
                <c:pt idx="21">
                  <c:v>26.644999184</c:v>
                </c:pt>
                <c:pt idx="22">
                  <c:v>27.531000087</c:v>
                </c:pt>
                <c:pt idx="23">
                  <c:v>28.474000026</c:v>
                </c:pt>
                <c:pt idx="24">
                  <c:v>29.56699978</c:v>
                </c:pt>
                <c:pt idx="25">
                  <c:v>30.511000519</c:v>
                </c:pt>
                <c:pt idx="26">
                  <c:v>31.496999622</c:v>
                </c:pt>
                <c:pt idx="27">
                  <c:v>32.603999879</c:v>
                </c:pt>
                <c:pt idx="28">
                  <c:v>33.453999669</c:v>
                </c:pt>
                <c:pt idx="29">
                  <c:v>34.463999723</c:v>
                </c:pt>
                <c:pt idx="30">
                  <c:v>35.594000131</c:v>
                </c:pt>
                <c:pt idx="31">
                  <c:v>36.463000648</c:v>
                </c:pt>
                <c:pt idx="32">
                  <c:v>37.486999947</c:v>
                </c:pt>
                <c:pt idx="33">
                  <c:v>38.487999723</c:v>
                </c:pt>
                <c:pt idx="34">
                  <c:v>39.474999625</c:v>
                </c:pt>
                <c:pt idx="35">
                  <c:v>40.49699984</c:v>
                </c:pt>
                <c:pt idx="36">
                  <c:v>41.449000057</c:v>
                </c:pt>
                <c:pt idx="37">
                  <c:v>42.46699959</c:v>
                </c:pt>
                <c:pt idx="38">
                  <c:v>43.477999814</c:v>
                </c:pt>
                <c:pt idx="39">
                  <c:v>44.44900013</c:v>
                </c:pt>
                <c:pt idx="40">
                  <c:v>45.451999618</c:v>
                </c:pt>
                <c:pt idx="41">
                  <c:v>46.462999214</c:v>
                </c:pt>
                <c:pt idx="42">
                  <c:v>47.479999833</c:v>
                </c:pt>
                <c:pt idx="43">
                  <c:v>48.492999142</c:v>
                </c:pt>
                <c:pt idx="44">
                  <c:v>49.46699934</c:v>
                </c:pt>
                <c:pt idx="45">
                  <c:v>50.529000093</c:v>
                </c:pt>
                <c:pt idx="46">
                  <c:v>51.481999852</c:v>
                </c:pt>
                <c:pt idx="47">
                  <c:v>52.519999654</c:v>
                </c:pt>
                <c:pt idx="48">
                  <c:v>53.488000086</c:v>
                </c:pt>
                <c:pt idx="49">
                  <c:v>54.457998974</c:v>
                </c:pt>
                <c:pt idx="50">
                  <c:v>55.518000014</c:v>
                </c:pt>
                <c:pt idx="51">
                  <c:v>56.544999824</c:v>
                </c:pt>
                <c:pt idx="52">
                  <c:v>57.480999827</c:v>
                </c:pt>
                <c:pt idx="53">
                  <c:v>58.45799928</c:v>
                </c:pt>
                <c:pt idx="54">
                  <c:v>59.447999065</c:v>
                </c:pt>
                <c:pt idx="55">
                  <c:v>60.473999963</c:v>
                </c:pt>
                <c:pt idx="56">
                  <c:v>61.449999874</c:v>
                </c:pt>
                <c:pt idx="57">
                  <c:v>62.446000054</c:v>
                </c:pt>
                <c:pt idx="58">
                  <c:v>63.451000512</c:v>
                </c:pt>
                <c:pt idx="59">
                  <c:v>64.451000117</c:v>
                </c:pt>
                <c:pt idx="60">
                  <c:v>65.476999757</c:v>
                </c:pt>
                <c:pt idx="61">
                  <c:v>66.463999659</c:v>
                </c:pt>
                <c:pt idx="62">
                  <c:v>67.469000117</c:v>
                </c:pt>
                <c:pt idx="63">
                  <c:v>68.493000045</c:v>
                </c:pt>
                <c:pt idx="64">
                  <c:v>69.467999786</c:v>
                </c:pt>
                <c:pt idx="65">
                  <c:v>70.471000531</c:v>
                </c:pt>
                <c:pt idx="66">
                  <c:v>71.492000576</c:v>
                </c:pt>
                <c:pt idx="67">
                  <c:v>72.45899958</c:v>
                </c:pt>
                <c:pt idx="68">
                  <c:v>73.459999356</c:v>
                </c:pt>
                <c:pt idx="69">
                  <c:v>74.448000057</c:v>
                </c:pt>
                <c:pt idx="70">
                  <c:v>75.452999887</c:v>
                </c:pt>
                <c:pt idx="71">
                  <c:v>76.439999788</c:v>
                </c:pt>
                <c:pt idx="72">
                  <c:v>77.457000408</c:v>
                </c:pt>
                <c:pt idx="73">
                  <c:v>78.488999814</c:v>
                </c:pt>
                <c:pt idx="74">
                  <c:v>79.478000057</c:v>
                </c:pt>
                <c:pt idx="75">
                  <c:v>80.506000039</c:v>
                </c:pt>
                <c:pt idx="76">
                  <c:v>81.461999681</c:v>
                </c:pt>
                <c:pt idx="77">
                  <c:v>82.470999564</c:v>
                </c:pt>
                <c:pt idx="78">
                  <c:v>83.490000525</c:v>
                </c:pt>
                <c:pt idx="79">
                  <c:v>84.465999808</c:v>
                </c:pt>
                <c:pt idx="80">
                  <c:v>85.444999602</c:v>
                </c:pt>
                <c:pt idx="81">
                  <c:v>86.469000787</c:v>
                </c:pt>
                <c:pt idx="82">
                  <c:v>87.473999988</c:v>
                </c:pt>
                <c:pt idx="83">
                  <c:v>88.473999593</c:v>
                </c:pt>
                <c:pt idx="84">
                  <c:v>89.465999719</c:v>
                </c:pt>
                <c:pt idx="85">
                  <c:v>90.48500068</c:v>
                </c:pt>
                <c:pt idx="86">
                  <c:v>91.478999261</c:v>
                </c:pt>
                <c:pt idx="87">
                  <c:v>92.450999747</c:v>
                </c:pt>
                <c:pt idx="88">
                  <c:v>93.475999846</c:v>
                </c:pt>
                <c:pt idx="89">
                  <c:v>94.483999558</c:v>
                </c:pt>
                <c:pt idx="90">
                  <c:v>95.493999612</c:v>
                </c:pt>
                <c:pt idx="91">
                  <c:v>96.473999577</c:v>
                </c:pt>
                <c:pt idx="92">
                  <c:v>97.443999093</c:v>
                </c:pt>
                <c:pt idx="93">
                  <c:v>98.486999748</c:v>
                </c:pt>
                <c:pt idx="94">
                  <c:v>99.477000162</c:v>
                </c:pt>
                <c:pt idx="95">
                  <c:v>100.660999724</c:v>
                </c:pt>
                <c:pt idx="96">
                  <c:v>101.453999849</c:v>
                </c:pt>
                <c:pt idx="97">
                  <c:v>102.48199983</c:v>
                </c:pt>
                <c:pt idx="98">
                  <c:v>103.467000648</c:v>
                </c:pt>
                <c:pt idx="99">
                  <c:v>104.464999912</c:v>
                </c:pt>
                <c:pt idx="100">
                  <c:v>105.461000092</c:v>
                </c:pt>
                <c:pt idx="101">
                  <c:v>106.467999634</c:v>
                </c:pt>
                <c:pt idx="102">
                  <c:v>107.458000676</c:v>
                </c:pt>
                <c:pt idx="103">
                  <c:v>108.439999725</c:v>
                </c:pt>
                <c:pt idx="104">
                  <c:v>109.489000146</c:v>
                </c:pt>
                <c:pt idx="105">
                  <c:v>110.482999985</c:v>
                </c:pt>
                <c:pt idx="106">
                  <c:v>111.46199915</c:v>
                </c:pt>
                <c:pt idx="107">
                  <c:v>112.455999618</c:v>
                </c:pt>
                <c:pt idx="108">
                  <c:v>113.473000237</c:v>
                </c:pt>
                <c:pt idx="109">
                  <c:v>114.456998999</c:v>
                </c:pt>
                <c:pt idx="110">
                  <c:v>115.470999735</c:v>
                </c:pt>
                <c:pt idx="111">
                  <c:v>116.533000487</c:v>
                </c:pt>
                <c:pt idx="112">
                  <c:v>117.476999969</c:v>
                </c:pt>
                <c:pt idx="113">
                  <c:v>118.441999889</c:v>
                </c:pt>
                <c:pt idx="114">
                  <c:v>119.468000787</c:v>
                </c:pt>
                <c:pt idx="115">
                  <c:v>120.485999691</c:v>
                </c:pt>
                <c:pt idx="116">
                  <c:v>121.439998992</c:v>
                </c:pt>
                <c:pt idx="117">
                  <c:v>122.460999037</c:v>
                </c:pt>
                <c:pt idx="118">
                  <c:v>123.450000537</c:v>
                </c:pt>
                <c:pt idx="119">
                  <c:v>124.491999763</c:v>
                </c:pt>
                <c:pt idx="120">
                  <c:v>125.456000142</c:v>
                </c:pt>
                <c:pt idx="121">
                  <c:v>126.477999729</c:v>
                </c:pt>
                <c:pt idx="122">
                  <c:v>127.479000133</c:v>
                </c:pt>
                <c:pt idx="123">
                  <c:v>128.453999874</c:v>
                </c:pt>
                <c:pt idx="124">
                  <c:v>129.454999649</c:v>
                </c:pt>
                <c:pt idx="125">
                  <c:v>130.451999371</c:v>
                </c:pt>
                <c:pt idx="126">
                  <c:v>133.088999125</c:v>
                </c:pt>
                <c:pt idx="127">
                  <c:v>134.016000735</c:v>
                </c:pt>
                <c:pt idx="128">
                  <c:v>134.969000495</c:v>
                </c:pt>
                <c:pt idx="129">
                  <c:v>135.987999569</c:v>
                </c:pt>
                <c:pt idx="130">
                  <c:v>137.009999784</c:v>
                </c:pt>
                <c:pt idx="131">
                  <c:v>140.193000272</c:v>
                </c:pt>
                <c:pt idx="132">
                  <c:v>141.176000749</c:v>
                </c:pt>
                <c:pt idx="133">
                  <c:v>142.130999593</c:v>
                </c:pt>
                <c:pt idx="134">
                  <c:v>143.057000404</c:v>
                </c:pt>
                <c:pt idx="135">
                  <c:v>143.966999743</c:v>
                </c:pt>
                <c:pt idx="136">
                  <c:v>144.962999923</c:v>
                </c:pt>
                <c:pt idx="137">
                  <c:v>145.961999986</c:v>
                </c:pt>
                <c:pt idx="138">
                  <c:v>147.017999715</c:v>
                </c:pt>
                <c:pt idx="139">
                  <c:v>150.285998987</c:v>
                </c:pt>
                <c:pt idx="140">
                  <c:v>151.350998994</c:v>
                </c:pt>
                <c:pt idx="141">
                  <c:v>152.387999882</c:v>
                </c:pt>
                <c:pt idx="142">
                  <c:v>153.487000032</c:v>
                </c:pt>
                <c:pt idx="143">
                  <c:v>154.468999709</c:v>
                </c:pt>
                <c:pt idx="144">
                  <c:v>155.453999899</c:v>
                </c:pt>
                <c:pt idx="145">
                  <c:v>156.446998938</c:v>
                </c:pt>
                <c:pt idx="146">
                  <c:v>157.467998983</c:v>
                </c:pt>
                <c:pt idx="147">
                  <c:v>158.462000079</c:v>
                </c:pt>
                <c:pt idx="148">
                  <c:v>159.466999908</c:v>
                </c:pt>
                <c:pt idx="149">
                  <c:v>160.482999728</c:v>
                </c:pt>
                <c:pt idx="150">
                  <c:v>161.455999128</c:v>
                </c:pt>
                <c:pt idx="151">
                  <c:v>162.46499964</c:v>
                </c:pt>
                <c:pt idx="152">
                  <c:v>163.448999659</c:v>
                </c:pt>
                <c:pt idx="153">
                  <c:v>164.450000692</c:v>
                </c:pt>
                <c:pt idx="154">
                  <c:v>165.456999605</c:v>
                </c:pt>
                <c:pt idx="155">
                  <c:v>166.47899982</c:v>
                </c:pt>
                <c:pt idx="156">
                  <c:v>167.538998974</c:v>
                </c:pt>
                <c:pt idx="157">
                  <c:v>168.449999741</c:v>
                </c:pt>
                <c:pt idx="158">
                  <c:v>169.45499957</c:v>
                </c:pt>
                <c:pt idx="159">
                  <c:v>170.469999848</c:v>
                </c:pt>
                <c:pt idx="160">
                  <c:v>171.501999883</c:v>
                </c:pt>
                <c:pt idx="161">
                  <c:v>172.467999975</c:v>
                </c:pt>
                <c:pt idx="162">
                  <c:v>173.471000092</c:v>
                </c:pt>
                <c:pt idx="163">
                  <c:v>176.818999182</c:v>
                </c:pt>
                <c:pt idx="164">
                  <c:v>178.052999731</c:v>
                </c:pt>
                <c:pt idx="165">
                  <c:v>178.98599985</c:v>
                </c:pt>
                <c:pt idx="166">
                  <c:v>179.979999689</c:v>
                </c:pt>
                <c:pt idx="167">
                  <c:v>180.975000327</c:v>
                </c:pt>
                <c:pt idx="168">
                  <c:v>181.962999771</c:v>
                </c:pt>
                <c:pt idx="169">
                  <c:v>182.949999673</c:v>
                </c:pt>
                <c:pt idx="170">
                  <c:v>183.96299961</c:v>
                </c:pt>
                <c:pt idx="171">
                  <c:v>184.961999673</c:v>
                </c:pt>
                <c:pt idx="172">
                  <c:v>185.983999259</c:v>
                </c:pt>
                <c:pt idx="173">
                  <c:v>186.965999566</c:v>
                </c:pt>
                <c:pt idx="174">
                  <c:v>187.957000778</c:v>
                </c:pt>
                <c:pt idx="175">
                  <c:v>188.961999979</c:v>
                </c:pt>
                <c:pt idx="176">
                  <c:v>189.954999648</c:v>
                </c:pt>
                <c:pt idx="177">
                  <c:v>190.986000769</c:v>
                </c:pt>
                <c:pt idx="178">
                  <c:v>192.004999215</c:v>
                </c:pt>
                <c:pt idx="179">
                  <c:v>192.978999414</c:v>
                </c:pt>
                <c:pt idx="180">
                  <c:v>194.05500004</c:v>
                </c:pt>
                <c:pt idx="181">
                  <c:v>194.984999648</c:v>
                </c:pt>
                <c:pt idx="182">
                  <c:v>196.198000386</c:v>
                </c:pt>
                <c:pt idx="183">
                  <c:v>196.996999648</c:v>
                </c:pt>
                <c:pt idx="184">
                  <c:v>198.043000185</c:v>
                </c:pt>
                <c:pt idx="185">
                  <c:v>199.060999718</c:v>
                </c:pt>
                <c:pt idx="186">
                  <c:v>200.049999961</c:v>
                </c:pt>
                <c:pt idx="187">
                  <c:v>201.017999765</c:v>
                </c:pt>
                <c:pt idx="188">
                  <c:v>202.028999361</c:v>
                </c:pt>
                <c:pt idx="189">
                  <c:v>203.084999718</c:v>
                </c:pt>
                <c:pt idx="190">
                  <c:v>204.03999919</c:v>
                </c:pt>
                <c:pt idx="191">
                  <c:v>204.985999641</c:v>
                </c:pt>
                <c:pt idx="192">
                  <c:v>206.031000008</c:v>
                </c:pt>
                <c:pt idx="193">
                  <c:v>206.957999733</c:v>
                </c:pt>
                <c:pt idx="194">
                  <c:v>207.975999894</c:v>
                </c:pt>
                <c:pt idx="195">
                  <c:v>208.967999392</c:v>
                </c:pt>
                <c:pt idx="196">
                  <c:v>209.967000712</c:v>
                </c:pt>
                <c:pt idx="197">
                  <c:v>210.984000074</c:v>
                </c:pt>
                <c:pt idx="198">
                  <c:v>211.944999941</c:v>
                </c:pt>
                <c:pt idx="199">
                  <c:v>212.967000156</c:v>
                </c:pt>
                <c:pt idx="200">
                  <c:v>213.973000156</c:v>
                </c:pt>
                <c:pt idx="201">
                  <c:v>214.97999907</c:v>
                </c:pt>
                <c:pt idx="202">
                  <c:v>215.960999834</c:v>
                </c:pt>
                <c:pt idx="203">
                  <c:v>216.988999815</c:v>
                </c:pt>
                <c:pt idx="204">
                  <c:v>217.941999575</c:v>
                </c:pt>
                <c:pt idx="205">
                  <c:v>218.935999413</c:v>
                </c:pt>
                <c:pt idx="206">
                  <c:v>219.946000096</c:v>
                </c:pt>
                <c:pt idx="207">
                  <c:v>221.004999708</c:v>
                </c:pt>
                <c:pt idx="208">
                  <c:v>221.965000662</c:v>
                </c:pt>
                <c:pt idx="209">
                  <c:v>222.943000285</c:v>
                </c:pt>
                <c:pt idx="210">
                  <c:v>224.023999879</c:v>
                </c:pt>
                <c:pt idx="211">
                  <c:v>224.961000052</c:v>
                </c:pt>
                <c:pt idx="212">
                  <c:v>226.041999645</c:v>
                </c:pt>
                <c:pt idx="213">
                  <c:v>227.018999727</c:v>
                </c:pt>
                <c:pt idx="214">
                  <c:v>228.046999708</c:v>
                </c:pt>
                <c:pt idx="215">
                  <c:v>228.93899912</c:v>
                </c:pt>
                <c:pt idx="216">
                  <c:v>230.054999655</c:v>
                </c:pt>
                <c:pt idx="217">
                  <c:v>230.997999594</c:v>
                </c:pt>
                <c:pt idx="218">
                  <c:v>232.037999737</c:v>
                </c:pt>
                <c:pt idx="219">
                  <c:v>232.985999272</c:v>
                </c:pt>
                <c:pt idx="220">
                  <c:v>233.997000753</c:v>
                </c:pt>
                <c:pt idx="221">
                  <c:v>234.990999964</c:v>
                </c:pt>
                <c:pt idx="222">
                  <c:v>236.091999826</c:v>
                </c:pt>
                <c:pt idx="223">
                  <c:v>236.986999749</c:v>
                </c:pt>
                <c:pt idx="224">
                  <c:v>237.979000504</c:v>
                </c:pt>
                <c:pt idx="225">
                  <c:v>239.009999111</c:v>
                </c:pt>
                <c:pt idx="226">
                  <c:v>240.007999632</c:v>
                </c:pt>
                <c:pt idx="227">
                  <c:v>240.972000011</c:v>
                </c:pt>
                <c:pt idx="228">
                  <c:v>242.005999758</c:v>
                </c:pt>
                <c:pt idx="229">
                  <c:v>242.989999777</c:v>
                </c:pt>
                <c:pt idx="230">
                  <c:v>244.001000002</c:v>
                </c:pt>
                <c:pt idx="231">
                  <c:v>245.118000078</c:v>
                </c:pt>
                <c:pt idx="232">
                  <c:v>245.978999859</c:v>
                </c:pt>
                <c:pt idx="233">
                  <c:v>247.008000011</c:v>
                </c:pt>
                <c:pt idx="234">
                  <c:v>248.007999616</c:v>
                </c:pt>
                <c:pt idx="235">
                  <c:v>248.992999806</c:v>
                </c:pt>
                <c:pt idx="236">
                  <c:v>250.00400003</c:v>
                </c:pt>
                <c:pt idx="237">
                  <c:v>250.977000058</c:v>
                </c:pt>
                <c:pt idx="238">
                  <c:v>251.985000399</c:v>
                </c:pt>
                <c:pt idx="239">
                  <c:v>252.96999996</c:v>
                </c:pt>
                <c:pt idx="240">
                  <c:v>253.980000014</c:v>
                </c:pt>
                <c:pt idx="241">
                  <c:v>255.002000229</c:v>
                </c:pt>
                <c:pt idx="242">
                  <c:v>255.99699961</c:v>
                </c:pt>
                <c:pt idx="243">
                  <c:v>257.096999301</c:v>
                </c:pt>
                <c:pt idx="244">
                  <c:v>257.993998937</c:v>
                </c:pt>
                <c:pt idx="245">
                  <c:v>259.010000014</c:v>
                </c:pt>
                <c:pt idx="246">
                  <c:v>260.027000005</c:v>
                </c:pt>
                <c:pt idx="247">
                  <c:v>260.979999764</c:v>
                </c:pt>
                <c:pt idx="248">
                  <c:v>261.986999935</c:v>
                </c:pt>
                <c:pt idx="249">
                  <c:v>262.994999648</c:v>
                </c:pt>
                <c:pt idx="250">
                  <c:v>264</c:v>
                </c:pt>
                <c:pt idx="251">
                  <c:v>264.99799937</c:v>
                </c:pt>
                <c:pt idx="252">
                  <c:v>266.008000052</c:v>
                </c:pt>
                <c:pt idx="253">
                  <c:v>267.0419998</c:v>
                </c:pt>
                <c:pt idx="254">
                  <c:v>267.98700008</c:v>
                </c:pt>
                <c:pt idx="255">
                  <c:v>269.069999386</c:v>
                </c:pt>
                <c:pt idx="256">
                  <c:v>270.036999648</c:v>
                </c:pt>
                <c:pt idx="257">
                  <c:v>270.988999865</c:v>
                </c:pt>
                <c:pt idx="258">
                  <c:v>272.068999917</c:v>
                </c:pt>
                <c:pt idx="259">
                  <c:v>273.010999686</c:v>
                </c:pt>
                <c:pt idx="260">
                  <c:v>274.016000772</c:v>
                </c:pt>
                <c:pt idx="261">
                  <c:v>275.02799991</c:v>
                </c:pt>
                <c:pt idx="262">
                  <c:v>275.996999256</c:v>
                </c:pt>
                <c:pt idx="263">
                  <c:v>277.067999029</c:v>
                </c:pt>
                <c:pt idx="264">
                  <c:v>278.052999847</c:v>
                </c:pt>
                <c:pt idx="265">
                  <c:v>278.987000137</c:v>
                </c:pt>
                <c:pt idx="266">
                  <c:v>280.011000065</c:v>
                </c:pt>
                <c:pt idx="267">
                  <c:v>281.02400063</c:v>
                </c:pt>
                <c:pt idx="268">
                  <c:v>282.031999714</c:v>
                </c:pt>
                <c:pt idx="269">
                  <c:v>283.034999831</c:v>
                </c:pt>
                <c:pt idx="270">
                  <c:v>284.029999841</c:v>
                </c:pt>
                <c:pt idx="271">
                  <c:v>284.990999079</c:v>
                </c:pt>
                <c:pt idx="272">
                  <c:v>286.003000102</c:v>
                </c:pt>
                <c:pt idx="273">
                  <c:v>287.090999633</c:v>
                </c:pt>
                <c:pt idx="274">
                  <c:v>288.033999572</c:v>
                </c:pt>
                <c:pt idx="275">
                  <c:v>288.980999565</c:v>
                </c:pt>
                <c:pt idx="276">
                  <c:v>289.961000159</c:v>
                </c:pt>
                <c:pt idx="277">
                  <c:v>290.965999988</c:v>
                </c:pt>
                <c:pt idx="278">
                  <c:v>292.013000696</c:v>
                </c:pt>
                <c:pt idx="279">
                  <c:v>293.00100014</c:v>
                </c:pt>
                <c:pt idx="280">
                  <c:v>294.010000023</c:v>
                </c:pt>
                <c:pt idx="281">
                  <c:v>294.971000519</c:v>
                </c:pt>
                <c:pt idx="282">
                  <c:v>295.967998984</c:v>
                </c:pt>
                <c:pt idx="283">
                  <c:v>296.948999748</c:v>
                </c:pt>
                <c:pt idx="284">
                  <c:v>297.961000143</c:v>
                </c:pt>
                <c:pt idx="285">
                  <c:v>298.952000099</c:v>
                </c:pt>
                <c:pt idx="286">
                  <c:v>299.996999837</c:v>
                </c:pt>
                <c:pt idx="287">
                  <c:v>300.975999631</c:v>
                </c:pt>
                <c:pt idx="288">
                  <c:v>301.986999856</c:v>
                </c:pt>
                <c:pt idx="289">
                  <c:v>302.969999704</c:v>
                </c:pt>
                <c:pt idx="290">
                  <c:v>304.048000043</c:v>
                </c:pt>
                <c:pt idx="291">
                  <c:v>304.952000244</c:v>
                </c:pt>
                <c:pt idx="292">
                  <c:v>305.948000424</c:v>
                </c:pt>
                <c:pt idx="293">
                  <c:v>306.952999625</c:v>
                </c:pt>
                <c:pt idx="294">
                  <c:v>307.969000074</c:v>
                </c:pt>
                <c:pt idx="295">
                  <c:v>308.979000127</c:v>
                </c:pt>
                <c:pt idx="296">
                  <c:v>309.948999015</c:v>
                </c:pt>
                <c:pt idx="297">
                  <c:v>310.958000156</c:v>
                </c:pt>
                <c:pt idx="298">
                  <c:v>311.979999742</c:v>
                </c:pt>
                <c:pt idx="299">
                  <c:v>312.959000165</c:v>
                </c:pt>
                <c:pt idx="300">
                  <c:v>313.950000121</c:v>
                </c:pt>
                <c:pt idx="301">
                  <c:v>314.981999527</c:v>
                </c:pt>
                <c:pt idx="302">
                  <c:v>316.002999572</c:v>
                </c:pt>
                <c:pt idx="303">
                  <c:v>316.96599978</c:v>
                </c:pt>
                <c:pt idx="304">
                  <c:v>317.951999511</c:v>
                </c:pt>
                <c:pt idx="305">
                  <c:v>318.945999979</c:v>
                </c:pt>
                <c:pt idx="306">
                  <c:v>319.956999574</c:v>
                </c:pt>
                <c:pt idx="307">
                  <c:v>320.951999584</c:v>
                </c:pt>
                <c:pt idx="308">
                  <c:v>321.947999764</c:v>
                </c:pt>
                <c:pt idx="309">
                  <c:v>322.937000007</c:v>
                </c:pt>
                <c:pt idx="310">
                  <c:v>323.972999467</c:v>
                </c:pt>
                <c:pt idx="311">
                  <c:v>324.939999729</c:v>
                </c:pt>
                <c:pt idx="312">
                  <c:v>325.980999413</c:v>
                </c:pt>
                <c:pt idx="313">
                  <c:v>326.955999783</c:v>
                </c:pt>
                <c:pt idx="314">
                  <c:v>327.968000178</c:v>
                </c:pt>
                <c:pt idx="315">
                  <c:v>328.966000699</c:v>
                </c:pt>
                <c:pt idx="316">
                  <c:v>330.016999575</c:v>
                </c:pt>
                <c:pt idx="317">
                  <c:v>330.952000664</c:v>
                </c:pt>
                <c:pt idx="318">
                  <c:v>331.961000547</c:v>
                </c:pt>
                <c:pt idx="319">
                  <c:v>332.943999767</c:v>
                </c:pt>
                <c:pt idx="320">
                  <c:v>333.967000152</c:v>
                </c:pt>
                <c:pt idx="321">
                  <c:v>334.962999704</c:v>
                </c:pt>
                <c:pt idx="322">
                  <c:v>335.974000557</c:v>
                </c:pt>
                <c:pt idx="323">
                  <c:v>337.008999846</c:v>
                </c:pt>
                <c:pt idx="324">
                  <c:v>337.952999956</c:v>
                </c:pt>
                <c:pt idx="325">
                  <c:v>338.949999678</c:v>
                </c:pt>
                <c:pt idx="326">
                  <c:v>339.952999167</c:v>
                </c:pt>
                <c:pt idx="327">
                  <c:v>340.953999571</c:v>
                </c:pt>
                <c:pt idx="328">
                  <c:v>341.953999805</c:v>
                </c:pt>
                <c:pt idx="329">
                  <c:v>342.936999653</c:v>
                </c:pt>
                <c:pt idx="330">
                  <c:v>343.960000039</c:v>
                </c:pt>
                <c:pt idx="331">
                  <c:v>344.949999824</c:v>
                </c:pt>
                <c:pt idx="332">
                  <c:v>345.978999976</c:v>
                </c:pt>
                <c:pt idx="333">
                  <c:v>346.964000165</c:v>
                </c:pt>
                <c:pt idx="334">
                  <c:v>347.946999385</c:v>
                </c:pt>
                <c:pt idx="335">
                  <c:v>348.954000184</c:v>
                </c:pt>
                <c:pt idx="336">
                  <c:v>349.948000023</c:v>
                </c:pt>
                <c:pt idx="337">
                  <c:v>350.949999969</c:v>
                </c:pt>
                <c:pt idx="338">
                  <c:v>351.942000095</c:v>
                </c:pt>
                <c:pt idx="339">
                  <c:v>352.97199916</c:v>
                </c:pt>
                <c:pt idx="340">
                  <c:v>353.9479997</c:v>
                </c:pt>
                <c:pt idx="341">
                  <c:v>354.94399988</c:v>
                </c:pt>
                <c:pt idx="342">
                  <c:v>355.942999944</c:v>
                </c:pt>
                <c:pt idx="343">
                  <c:v>356.947999773</c:v>
                </c:pt>
                <c:pt idx="344">
                  <c:v>357.949000806</c:v>
                </c:pt>
                <c:pt idx="345">
                  <c:v>358.961000572</c:v>
                </c:pt>
                <c:pt idx="346">
                  <c:v>359.966999315</c:v>
                </c:pt>
                <c:pt idx="347">
                  <c:v>360.950999334</c:v>
                </c:pt>
                <c:pt idx="348">
                  <c:v>361.947000143</c:v>
                </c:pt>
                <c:pt idx="349">
                  <c:v>362.965000304</c:v>
                </c:pt>
                <c:pt idx="350">
                  <c:v>363.949999865</c:v>
                </c:pt>
                <c:pt idx="351">
                  <c:v>364.948999928</c:v>
                </c:pt>
                <c:pt idx="352">
                  <c:v>365.952999587</c:v>
                </c:pt>
                <c:pt idx="353">
                  <c:v>367.015999881</c:v>
                </c:pt>
                <c:pt idx="354">
                  <c:v>367.966999928</c:v>
                </c:pt>
                <c:pt idx="355">
                  <c:v>368.965999991</c:v>
                </c:pt>
                <c:pt idx="356">
                  <c:v>369.95000001</c:v>
                </c:pt>
                <c:pt idx="357">
                  <c:v>370.960999606</c:v>
                </c:pt>
                <c:pt idx="358">
                  <c:v>371.955998986</c:v>
                </c:pt>
                <c:pt idx="359">
                  <c:v>372.976000746</c:v>
                </c:pt>
                <c:pt idx="360">
                  <c:v>373.981999489</c:v>
                </c:pt>
                <c:pt idx="361">
                  <c:v>374.951999634</c:v>
                </c:pt>
                <c:pt idx="362">
                  <c:v>376.020999695</c:v>
                </c:pt>
                <c:pt idx="363">
                  <c:v>376.971999742</c:v>
                </c:pt>
                <c:pt idx="364">
                  <c:v>377.954000676</c:v>
                </c:pt>
                <c:pt idx="365">
                  <c:v>378.95199994</c:v>
                </c:pt>
                <c:pt idx="366">
                  <c:v>379.963000165</c:v>
                </c:pt>
                <c:pt idx="367">
                  <c:v>380.937999906</c:v>
                </c:pt>
                <c:pt idx="368">
                  <c:v>381.971999653</c:v>
                </c:pt>
                <c:pt idx="369">
                  <c:v>383.010000712</c:v>
                </c:pt>
                <c:pt idx="370">
                  <c:v>383.946999628</c:v>
                </c:pt>
                <c:pt idx="371">
                  <c:v>384.970000013</c:v>
                </c:pt>
                <c:pt idx="372">
                  <c:v>385.949000436</c:v>
                </c:pt>
                <c:pt idx="373">
                  <c:v>386.961999745</c:v>
                </c:pt>
                <c:pt idx="374">
                  <c:v>387.967999745</c:v>
                </c:pt>
                <c:pt idx="375">
                  <c:v>388.954999647</c:v>
                </c:pt>
                <c:pt idx="376">
                  <c:v>390.005999151</c:v>
                </c:pt>
                <c:pt idx="377">
                  <c:v>390.963999764</c:v>
                </c:pt>
                <c:pt idx="378">
                  <c:v>391.988999862</c:v>
                </c:pt>
                <c:pt idx="379">
                  <c:v>392.930999631</c:v>
                </c:pt>
                <c:pt idx="380">
                  <c:v>393.926999811</c:v>
                </c:pt>
                <c:pt idx="381">
                  <c:v>394.958999846</c:v>
                </c:pt>
                <c:pt idx="382">
                  <c:v>395.981000061</c:v>
                </c:pt>
                <c:pt idx="383">
                  <c:v>396.966999792</c:v>
                </c:pt>
                <c:pt idx="384">
                  <c:v>397.954999865</c:v>
                </c:pt>
                <c:pt idx="385">
                  <c:v>398.930999147</c:v>
                </c:pt>
                <c:pt idx="386">
                  <c:v>400.016000051</c:v>
                </c:pt>
                <c:pt idx="387">
                  <c:v>401.001000241</c:v>
                </c:pt>
                <c:pt idx="388">
                  <c:v>401.958000054</c:v>
                </c:pt>
                <c:pt idx="389">
                  <c:v>402.96999982</c:v>
                </c:pt>
                <c:pt idx="390">
                  <c:v>403.963999659</c:v>
                </c:pt>
                <c:pt idx="391">
                  <c:v>404.955999786</c:v>
                </c:pt>
                <c:pt idx="392">
                  <c:v>405.964999669</c:v>
                </c:pt>
                <c:pt idx="393">
                  <c:v>406.956999795</c:v>
                </c:pt>
                <c:pt idx="394">
                  <c:v>407.939999643</c:v>
                </c:pt>
                <c:pt idx="395">
                  <c:v>408.983000298</c:v>
                </c:pt>
                <c:pt idx="396">
                  <c:v>409.972999454</c:v>
                </c:pt>
                <c:pt idx="397">
                  <c:v>410.94399977</c:v>
                </c:pt>
                <c:pt idx="398">
                  <c:v>411.975999805</c:v>
                </c:pt>
                <c:pt idx="399">
                  <c:v>413.008000468</c:v>
                </c:pt>
                <c:pt idx="400">
                  <c:v>413.946000183</c:v>
                </c:pt>
                <c:pt idx="401">
                  <c:v>414.992999634</c:v>
                </c:pt>
                <c:pt idx="402">
                  <c:v>415.943000139</c:v>
                </c:pt>
                <c:pt idx="403">
                  <c:v>416.942999744</c:v>
                </c:pt>
                <c:pt idx="404">
                  <c:v>417.954999511</c:v>
                </c:pt>
                <c:pt idx="405">
                  <c:v>418.965999735</c:v>
                </c:pt>
                <c:pt idx="406">
                  <c:v>419.960000202</c:v>
                </c:pt>
                <c:pt idx="407">
                  <c:v>420.969000086</c:v>
                </c:pt>
                <c:pt idx="408">
                  <c:v>421.949998964</c:v>
                </c:pt>
                <c:pt idx="409">
                  <c:v>424.709999584</c:v>
                </c:pt>
                <c:pt idx="410">
                  <c:v>426.955999899</c:v>
                </c:pt>
                <c:pt idx="411">
                  <c:v>427.974999602</c:v>
                </c:pt>
                <c:pt idx="412">
                  <c:v>429.017999628</c:v>
                </c:pt>
                <c:pt idx="413">
                  <c:v>430.046999151</c:v>
                </c:pt>
                <c:pt idx="414">
                  <c:v>433.623000676</c:v>
                </c:pt>
                <c:pt idx="415">
                  <c:v>434.57899969</c:v>
                </c:pt>
                <c:pt idx="416">
                  <c:v>435.533999791</c:v>
                </c:pt>
                <c:pt idx="417">
                  <c:v>439.53699998</c:v>
                </c:pt>
                <c:pt idx="418">
                  <c:v>442.502999911</c:v>
                </c:pt>
                <c:pt idx="419">
                  <c:v>445.257999678</c:v>
                </c:pt>
                <c:pt idx="420">
                  <c:v>446.149999718</c:v>
                </c:pt>
                <c:pt idx="421">
                  <c:v>447.13699962</c:v>
                </c:pt>
                <c:pt idx="422">
                  <c:v>448.079999559</c:v>
                </c:pt>
                <c:pt idx="423">
                  <c:v>448.99600055</c:v>
                </c:pt>
                <c:pt idx="424">
                  <c:v>449.977000057</c:v>
                </c:pt>
                <c:pt idx="425">
                  <c:v>451.042000064</c:v>
                </c:pt>
                <c:pt idx="426">
                  <c:v>451.991000398</c:v>
                </c:pt>
                <c:pt idx="427">
                  <c:v>452.980000013</c:v>
                </c:pt>
                <c:pt idx="428">
                  <c:v>454.045998933</c:v>
                </c:pt>
                <c:pt idx="429">
                  <c:v>454.969999403</c:v>
                </c:pt>
                <c:pt idx="430">
                  <c:v>456.003999151</c:v>
                </c:pt>
                <c:pt idx="431">
                  <c:v>457.009999779</c:v>
                </c:pt>
                <c:pt idx="432">
                  <c:v>458.074000244</c:v>
                </c:pt>
                <c:pt idx="433">
                  <c:v>458.996999915</c:v>
                </c:pt>
                <c:pt idx="434">
                  <c:v>460.020999843</c:v>
                </c:pt>
                <c:pt idx="435">
                  <c:v>460.977999656</c:v>
                </c:pt>
                <c:pt idx="436">
                  <c:v>462.046999717</c:v>
                </c:pt>
                <c:pt idx="437">
                  <c:v>462.95299963</c:v>
                </c:pt>
                <c:pt idx="438">
                  <c:v>463.960999343</c:v>
                </c:pt>
                <c:pt idx="439">
                  <c:v>464.929999946</c:v>
                </c:pt>
                <c:pt idx="440">
                  <c:v>465.933999605</c:v>
                </c:pt>
                <c:pt idx="441">
                  <c:v>466.952999937</c:v>
                </c:pt>
                <c:pt idx="442">
                  <c:v>467.943999893</c:v>
                </c:pt>
                <c:pt idx="443">
                  <c:v>468.947000009</c:v>
                </c:pt>
                <c:pt idx="444">
                  <c:v>469.941000477</c:v>
                </c:pt>
                <c:pt idx="445">
                  <c:v>470.967000117</c:v>
                </c:pt>
                <c:pt idx="446">
                  <c:v>471.954999561</c:v>
                </c:pt>
                <c:pt idx="447">
                  <c:v>472.953000082</c:v>
                </c:pt>
                <c:pt idx="448">
                  <c:v>473.948999634</c:v>
                </c:pt>
                <c:pt idx="449">
                  <c:v>474.97199939</c:v>
                </c:pt>
                <c:pt idx="450">
                  <c:v>476.093999692</c:v>
                </c:pt>
                <c:pt idx="451">
                  <c:v>476.964999921</c:v>
                </c:pt>
                <c:pt idx="452">
                  <c:v>477.951999823</c:v>
                </c:pt>
                <c:pt idx="453">
                  <c:v>478.950999886</c:v>
                </c:pt>
                <c:pt idx="454">
                  <c:v>479.953000461</c:v>
                </c:pt>
                <c:pt idx="455">
                  <c:v>480.943000246</c:v>
                </c:pt>
                <c:pt idx="456">
                  <c:v>481.933999573</c:v>
                </c:pt>
                <c:pt idx="457">
                  <c:v>482.948000309</c:v>
                </c:pt>
                <c:pt idx="458">
                  <c:v>483.947000373</c:v>
                </c:pt>
                <c:pt idx="459">
                  <c:v>484.962999564</c:v>
                </c:pt>
                <c:pt idx="460">
                  <c:v>485.939999017</c:v>
                </c:pt>
                <c:pt idx="461">
                  <c:v>486.965999915</c:v>
                </c:pt>
                <c:pt idx="462">
                  <c:v>487.977000139</c:v>
                </c:pt>
                <c:pt idx="463">
                  <c:v>488.988999905</c:v>
                </c:pt>
                <c:pt idx="464">
                  <c:v>489.946999889</c:v>
                </c:pt>
                <c:pt idx="465">
                  <c:v>490.960999368</c:v>
                </c:pt>
                <c:pt idx="466">
                  <c:v>491.94799927</c:v>
                </c:pt>
                <c:pt idx="467">
                  <c:v>492.960999836</c:v>
                </c:pt>
                <c:pt idx="468">
                  <c:v>493.940999801</c:v>
                </c:pt>
                <c:pt idx="469">
                  <c:v>494.938000151</c:v>
                </c:pt>
                <c:pt idx="470">
                  <c:v>495.967000303</c:v>
                </c:pt>
                <c:pt idx="471">
                  <c:v>496.957000088</c:v>
                </c:pt>
                <c:pt idx="472">
                  <c:v>497.967000142</c:v>
                </c:pt>
                <c:pt idx="473">
                  <c:v>500.22299902</c:v>
                </c:pt>
                <c:pt idx="474">
                  <c:v>501.279000006</c:v>
                </c:pt>
                <c:pt idx="475">
                  <c:v>502.353999833</c:v>
                </c:pt>
                <c:pt idx="476">
                  <c:v>503.370000282</c:v>
                </c:pt>
                <c:pt idx="477">
                  <c:v>504.434000747</c:v>
                </c:pt>
                <c:pt idx="478">
                  <c:v>505.488000134</c:v>
                </c:pt>
                <c:pt idx="479">
                  <c:v>506.448999373</c:v>
                </c:pt>
                <c:pt idx="480">
                  <c:v>507.485000719</c:v>
                </c:pt>
                <c:pt idx="481">
                  <c:v>508.447999041</c:v>
                </c:pt>
                <c:pt idx="482">
                  <c:v>509.459000523</c:v>
                </c:pt>
                <c:pt idx="483">
                  <c:v>510.444000083</c:v>
                </c:pt>
                <c:pt idx="484">
                  <c:v>511.44600003</c:v>
                </c:pt>
                <c:pt idx="485">
                  <c:v>512.441000668</c:v>
                </c:pt>
                <c:pt idx="486">
                  <c:v>513.450000551</c:v>
                </c:pt>
                <c:pt idx="487">
                  <c:v>514.437999995</c:v>
                </c:pt>
                <c:pt idx="488">
                  <c:v>515.445999079</c:v>
                </c:pt>
                <c:pt idx="489">
                  <c:v>516.475999401</c:v>
                </c:pt>
                <c:pt idx="490">
                  <c:v>517.475999007</c:v>
                </c:pt>
                <c:pt idx="491">
                  <c:v>518.448999663</c:v>
                </c:pt>
                <c:pt idx="492">
                  <c:v>519.47099925</c:v>
                </c:pt>
                <c:pt idx="493">
                  <c:v>520.43800014</c:v>
                </c:pt>
                <c:pt idx="494">
                  <c:v>521.460999897</c:v>
                </c:pt>
                <c:pt idx="495">
                  <c:v>522.465999098</c:v>
                </c:pt>
                <c:pt idx="496">
                  <c:v>523.45499997</c:v>
                </c:pt>
                <c:pt idx="497">
                  <c:v>524.45100015</c:v>
                </c:pt>
                <c:pt idx="498">
                  <c:v>525.475999619</c:v>
                </c:pt>
                <c:pt idx="499">
                  <c:v>526.435999944</c:v>
                </c:pt>
                <c:pt idx="500">
                  <c:v>527.447000169</c:v>
                </c:pt>
                <c:pt idx="501">
                  <c:v>528.490000194</c:v>
                </c:pt>
                <c:pt idx="502">
                  <c:v>532.090000156</c:v>
                </c:pt>
                <c:pt idx="503">
                  <c:v>533.011999656</c:v>
                </c:pt>
                <c:pt idx="504">
                  <c:v>534.027999476</c:v>
                </c:pt>
                <c:pt idx="505">
                  <c:v>534.965000278</c:v>
                </c:pt>
                <c:pt idx="506">
                  <c:v>535.97199982</c:v>
                </c:pt>
                <c:pt idx="507">
                  <c:v>536.976999649</c:v>
                </c:pt>
                <c:pt idx="508">
                  <c:v>538.020999846</c:v>
                </c:pt>
                <c:pt idx="509">
                  <c:v>538.978000287</c:v>
                </c:pt>
                <c:pt idx="510">
                  <c:v>539.998000161</c:v>
                </c:pt>
                <c:pt idx="511">
                  <c:v>540.976999956</c:v>
                </c:pt>
                <c:pt idx="512">
                  <c:v>541.982000414</c:v>
                </c:pt>
                <c:pt idx="513">
                  <c:v>542.986000073</c:v>
                </c:pt>
                <c:pt idx="514">
                  <c:v>543.975999858</c:v>
                </c:pt>
                <c:pt idx="515">
                  <c:v>544.947999715</c:v>
                </c:pt>
                <c:pt idx="516">
                  <c:v>545.993999624</c:v>
                </c:pt>
                <c:pt idx="517">
                  <c:v>546.956999204</c:v>
                </c:pt>
                <c:pt idx="518">
                  <c:v>547.968000685</c:v>
                </c:pt>
                <c:pt idx="519">
                  <c:v>548.960999725</c:v>
                </c:pt>
                <c:pt idx="520">
                  <c:v>549.981999769</c:v>
                </c:pt>
                <c:pt idx="521">
                  <c:v>550.964000076</c:v>
                </c:pt>
                <c:pt idx="522">
                  <c:v>551.943999412</c:v>
                </c:pt>
                <c:pt idx="523">
                  <c:v>553.013000101</c:v>
                </c:pt>
                <c:pt idx="524">
                  <c:v>553.960999636</c:v>
                </c:pt>
                <c:pt idx="525">
                  <c:v>554.952999763</c:v>
                </c:pt>
                <c:pt idx="526">
                  <c:v>555.973999807</c:v>
                </c:pt>
                <c:pt idx="527">
                  <c:v>556.979999807</c:v>
                </c:pt>
                <c:pt idx="528">
                  <c:v>557.949999952</c:v>
                </c:pt>
                <c:pt idx="529">
                  <c:v>558.946999674</c:v>
                </c:pt>
                <c:pt idx="530">
                  <c:v>559.996000095</c:v>
                </c:pt>
                <c:pt idx="531">
                  <c:v>560.955999791</c:v>
                </c:pt>
                <c:pt idx="532">
                  <c:v>561.953999684</c:v>
                </c:pt>
                <c:pt idx="533">
                  <c:v>562.945999181</c:v>
                </c:pt>
                <c:pt idx="534">
                  <c:v>563.962999801</c:v>
                </c:pt>
                <c:pt idx="535">
                  <c:v>564.945000107</c:v>
                </c:pt>
                <c:pt idx="536">
                  <c:v>565.945999883</c:v>
                </c:pt>
                <c:pt idx="537">
                  <c:v>566.954999766</c:v>
                </c:pt>
                <c:pt idx="538">
                  <c:v>567.961000395</c:v>
                </c:pt>
                <c:pt idx="539">
                  <c:v>568.937999848</c:v>
                </c:pt>
                <c:pt idx="540">
                  <c:v>569.942000135</c:v>
                </c:pt>
                <c:pt idx="541">
                  <c:v>570.945999794</c:v>
                </c:pt>
                <c:pt idx="542">
                  <c:v>571.962999785</c:v>
                </c:pt>
                <c:pt idx="543">
                  <c:v>572.952000028</c:v>
                </c:pt>
                <c:pt idx="544">
                  <c:v>573.956999229</c:v>
                </c:pt>
                <c:pt idx="545">
                  <c:v>574.952999409</c:v>
                </c:pt>
                <c:pt idx="546">
                  <c:v>575.963999633</c:v>
                </c:pt>
                <c:pt idx="547">
                  <c:v>576.949999993</c:v>
                </c:pt>
                <c:pt idx="548">
                  <c:v>577.946000173</c:v>
                </c:pt>
                <c:pt idx="549">
                  <c:v>578.961999993</c:v>
                </c:pt>
                <c:pt idx="550">
                  <c:v>579.957000003</c:v>
                </c:pt>
                <c:pt idx="551">
                  <c:v>580.934000085</c:v>
                </c:pt>
                <c:pt idx="552">
                  <c:v>581.944000138</c:v>
                </c:pt>
                <c:pt idx="553">
                  <c:v>582.93999969</c:v>
                </c:pt>
                <c:pt idx="554">
                  <c:v>583.953999797</c:v>
                </c:pt>
                <c:pt idx="555">
                  <c:v>584.95199969</c:v>
                </c:pt>
                <c:pt idx="556">
                  <c:v>585.936000337</c:v>
                </c:pt>
                <c:pt idx="557">
                  <c:v>586.94199908</c:v>
                </c:pt>
                <c:pt idx="558">
                  <c:v>587.965000094</c:v>
                </c:pt>
                <c:pt idx="559">
                  <c:v>588.946999143</c:v>
                </c:pt>
                <c:pt idx="560">
                  <c:v>589.953999943</c:v>
                </c:pt>
                <c:pt idx="561">
                  <c:v>590.953000006</c:v>
                </c:pt>
                <c:pt idx="562">
                  <c:v>591.946999845</c:v>
                </c:pt>
                <c:pt idx="563">
                  <c:v>592.94699945</c:v>
                </c:pt>
                <c:pt idx="564">
                  <c:v>593.949000653</c:v>
                </c:pt>
                <c:pt idx="565">
                  <c:v>594.942999863</c:v>
                </c:pt>
                <c:pt idx="566">
                  <c:v>595.933999819</c:v>
                </c:pt>
                <c:pt idx="567">
                  <c:v>596.949000097</c:v>
                </c:pt>
                <c:pt idx="568">
                  <c:v>597.940000682</c:v>
                </c:pt>
                <c:pt idx="569">
                  <c:v>598.947999766</c:v>
                </c:pt>
                <c:pt idx="570">
                  <c:v>599.961999873</c:v>
                </c:pt>
                <c:pt idx="571">
                  <c:v>600.948000233</c:v>
                </c:pt>
                <c:pt idx="572">
                  <c:v>602</c:v>
                </c:pt>
                <c:pt idx="573">
                  <c:v>602.936999453</c:v>
                </c:pt>
                <c:pt idx="574">
                  <c:v>603.955999785</c:v>
                </c:pt>
                <c:pt idx="575">
                  <c:v>604.943999857</c:v>
                </c:pt>
                <c:pt idx="576">
                  <c:v>605.955999623</c:v>
                </c:pt>
                <c:pt idx="577">
                  <c:v>606.954999687</c:v>
                </c:pt>
                <c:pt idx="578">
                  <c:v>607.949999696</c:v>
                </c:pt>
                <c:pt idx="579">
                  <c:v>608.945999876</c:v>
                </c:pt>
                <c:pt idx="580">
                  <c:v>609.935999661</c:v>
                </c:pt>
                <c:pt idx="581">
                  <c:v>610.935999895</c:v>
                </c:pt>
                <c:pt idx="582">
                  <c:v>611.95800011</c:v>
                </c:pt>
                <c:pt idx="583">
                  <c:v>612.949000066</c:v>
                </c:pt>
                <c:pt idx="584">
                  <c:v>613.9479995</c:v>
                </c:pt>
                <c:pt idx="585">
                  <c:v>614.952999958</c:v>
                </c:pt>
                <c:pt idx="586">
                  <c:v>615.96200047</c:v>
                </c:pt>
                <c:pt idx="587">
                  <c:v>616.992999077</c:v>
                </c:pt>
                <c:pt idx="588">
                  <c:v>617.936999816</c:v>
                </c:pt>
                <c:pt idx="589">
                  <c:v>618.950999295</c:v>
                </c:pt>
                <c:pt idx="590">
                  <c:v>619.933999772</c:v>
                </c:pt>
                <c:pt idx="591">
                  <c:v>620.9400004</c:v>
                </c:pt>
                <c:pt idx="592">
                  <c:v>621.949000284</c:v>
                </c:pt>
                <c:pt idx="593">
                  <c:v>622.937999898</c:v>
                </c:pt>
                <c:pt idx="594">
                  <c:v>623.939999844</c:v>
                </c:pt>
                <c:pt idx="595">
                  <c:v>624.951999611</c:v>
                </c:pt>
                <c:pt idx="596">
                  <c:v>625.94699962</c:v>
                </c:pt>
                <c:pt idx="597">
                  <c:v>626.948000653</c:v>
                </c:pt>
                <c:pt idx="598">
                  <c:v>627.95899962</c:v>
                </c:pt>
                <c:pt idx="599">
                  <c:v>628.950999747</c:v>
                </c:pt>
                <c:pt idx="600">
                  <c:v>629.963000142</c:v>
                </c:pt>
                <c:pt idx="601">
                  <c:v>630.943999649</c:v>
                </c:pt>
                <c:pt idx="602">
                  <c:v>631.954999873</c:v>
                </c:pt>
                <c:pt idx="603">
                  <c:v>632.947000628</c:v>
                </c:pt>
                <c:pt idx="604">
                  <c:v>633.951999829</c:v>
                </c:pt>
                <c:pt idx="605">
                  <c:v>634.953999775</c:v>
                </c:pt>
                <c:pt idx="606">
                  <c:v>635.969999595</c:v>
                </c:pt>
                <c:pt idx="607">
                  <c:v>636.975000053</c:v>
                </c:pt>
                <c:pt idx="608">
                  <c:v>637.964999838</c:v>
                </c:pt>
                <c:pt idx="609">
                  <c:v>638.950000028</c:v>
                </c:pt>
                <c:pt idx="610">
                  <c:v>639.994999766</c:v>
                </c:pt>
                <c:pt idx="611">
                  <c:v>640.955999633</c:v>
                </c:pt>
                <c:pt idx="612">
                  <c:v>641.959999292</c:v>
                </c:pt>
                <c:pt idx="613">
                  <c:v>642.941000056</c:v>
                </c:pt>
                <c:pt idx="614">
                  <c:v>643.95899896</c:v>
                </c:pt>
                <c:pt idx="615">
                  <c:v>644.950999715</c:v>
                </c:pt>
                <c:pt idx="616">
                  <c:v>645.945000182</c:v>
                </c:pt>
                <c:pt idx="617">
                  <c:v>646.959999203</c:v>
                </c:pt>
                <c:pt idx="618">
                  <c:v>647.942000138</c:v>
                </c:pt>
                <c:pt idx="619">
                  <c:v>648.937999689</c:v>
                </c:pt>
                <c:pt idx="620">
                  <c:v>649.950000084</c:v>
                </c:pt>
                <c:pt idx="621">
                  <c:v>650.952000031</c:v>
                </c:pt>
                <c:pt idx="622">
                  <c:v>651.953999977</c:v>
                </c:pt>
                <c:pt idx="623">
                  <c:v>652.972000138</c:v>
                </c:pt>
                <c:pt idx="624">
                  <c:v>653.972999914</c:v>
                </c:pt>
                <c:pt idx="625">
                  <c:v>654.947000113</c:v>
                </c:pt>
                <c:pt idx="626">
                  <c:v>655.953000742</c:v>
                </c:pt>
                <c:pt idx="627">
                  <c:v>656.949999206</c:v>
                </c:pt>
                <c:pt idx="628">
                  <c:v>657.939998991</c:v>
                </c:pt>
                <c:pt idx="629">
                  <c:v>658.956000069</c:v>
                </c:pt>
                <c:pt idx="630">
                  <c:v>659.962999611</c:v>
                </c:pt>
                <c:pt idx="631">
                  <c:v>660.942999576</c:v>
                </c:pt>
                <c:pt idx="632">
                  <c:v>662.007999583</c:v>
                </c:pt>
                <c:pt idx="633">
                  <c:v>662.993999943</c:v>
                </c:pt>
                <c:pt idx="634">
                  <c:v>664.039999851</c:v>
                </c:pt>
                <c:pt idx="635">
                  <c:v>664.965999405</c:v>
                </c:pt>
                <c:pt idx="636">
                  <c:v>665.964999468</c:v>
                </c:pt>
                <c:pt idx="637">
                  <c:v>666.948999487</c:v>
                </c:pt>
                <c:pt idx="638">
                  <c:v>667.944999667</c:v>
                </c:pt>
                <c:pt idx="639">
                  <c:v>668.948999955</c:v>
                </c:pt>
                <c:pt idx="640">
                  <c:v>669.985999586</c:v>
                </c:pt>
                <c:pt idx="641">
                  <c:v>670.941999857</c:v>
                </c:pt>
                <c:pt idx="642">
                  <c:v>671.957000135</c:v>
                </c:pt>
                <c:pt idx="643">
                  <c:v>672.933999588</c:v>
                </c:pt>
                <c:pt idx="644">
                  <c:v>673.958000144</c:v>
                </c:pt>
                <c:pt idx="645">
                  <c:v>674.943999876</c:v>
                </c:pt>
                <c:pt idx="646">
                  <c:v>675.956999813</c:v>
                </c:pt>
                <c:pt idx="647">
                  <c:v>676.970000378</c:v>
                </c:pt>
                <c:pt idx="648">
                  <c:v>677.96399896</c:v>
                </c:pt>
                <c:pt idx="649">
                  <c:v>680.983000388</c:v>
                </c:pt>
                <c:pt idx="650">
                  <c:v>683.767999615</c:v>
                </c:pt>
                <c:pt idx="651">
                  <c:v>688.986999168</c:v>
                </c:pt>
                <c:pt idx="652">
                  <c:v>690.009000012</c:v>
                </c:pt>
                <c:pt idx="653">
                  <c:v>690.987999807</c:v>
                </c:pt>
                <c:pt idx="654">
                  <c:v>691.97700005</c:v>
                </c:pt>
                <c:pt idx="655">
                  <c:v>692.962999781</c:v>
                </c:pt>
                <c:pt idx="656">
                  <c:v>693.997000157</c:v>
                </c:pt>
                <c:pt idx="657">
                  <c:v>694.962000078</c:v>
                </c:pt>
                <c:pt idx="658">
                  <c:v>697.80499977</c:v>
                </c:pt>
                <c:pt idx="659">
                  <c:v>700.620999885</c:v>
                </c:pt>
              </c:numCache>
            </c:numRef>
          </c:xVal>
          <c:yVal>
            <c:numRef>
              <c:f>CSV_QGC!$Q$2:$Q$661</c:f>
              <c:numCache>
                <c:formatCode>General</c:formatCode>
                <c:ptCount val="6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0.044704</c:v>
                </c:pt>
                <c:pt idx="270">
                  <c:v>0.044704</c:v>
                </c:pt>
                <c:pt idx="271">
                  <c:v>0.178816</c:v>
                </c:pt>
                <c:pt idx="272">
                  <c:v>0.312928</c:v>
                </c:pt>
                <c:pt idx="273">
                  <c:v>0.312928</c:v>
                </c:pt>
                <c:pt idx="274">
                  <c:v>0.536448</c:v>
                </c:pt>
                <c:pt idx="275">
                  <c:v>0.536448</c:v>
                </c:pt>
                <c:pt idx="276">
                  <c:v>0.804672</c:v>
                </c:pt>
                <c:pt idx="277">
                  <c:v>1.1176</c:v>
                </c:pt>
                <c:pt idx="278">
                  <c:v>1.475232</c:v>
                </c:pt>
                <c:pt idx="279">
                  <c:v>1.922272</c:v>
                </c:pt>
                <c:pt idx="280">
                  <c:v>1.922272</c:v>
                </c:pt>
                <c:pt idx="281">
                  <c:v>2.324608</c:v>
                </c:pt>
                <c:pt idx="282">
                  <c:v>2.726944</c:v>
                </c:pt>
                <c:pt idx="283">
                  <c:v>3.084576</c:v>
                </c:pt>
                <c:pt idx="284">
                  <c:v>3.308096</c:v>
                </c:pt>
                <c:pt idx="285">
                  <c:v>3.486912</c:v>
                </c:pt>
                <c:pt idx="286">
                  <c:v>3.621024</c:v>
                </c:pt>
                <c:pt idx="287">
                  <c:v>3.710432</c:v>
                </c:pt>
                <c:pt idx="288">
                  <c:v>3.710432</c:v>
                </c:pt>
                <c:pt idx="289">
                  <c:v>3.755136</c:v>
                </c:pt>
                <c:pt idx="290">
                  <c:v>3.710432</c:v>
                </c:pt>
                <c:pt idx="291">
                  <c:v>3.710432</c:v>
                </c:pt>
                <c:pt idx="292">
                  <c:v>3.710432</c:v>
                </c:pt>
                <c:pt idx="293">
                  <c:v>3.710432</c:v>
                </c:pt>
                <c:pt idx="294">
                  <c:v>3.755136</c:v>
                </c:pt>
                <c:pt idx="295">
                  <c:v>3.844544</c:v>
                </c:pt>
                <c:pt idx="296">
                  <c:v>3.889248</c:v>
                </c:pt>
                <c:pt idx="297">
                  <c:v>3.933952</c:v>
                </c:pt>
                <c:pt idx="298">
                  <c:v>3.933952</c:v>
                </c:pt>
                <c:pt idx="299">
                  <c:v>3.978656</c:v>
                </c:pt>
                <c:pt idx="300">
                  <c:v>3.978656</c:v>
                </c:pt>
                <c:pt idx="301">
                  <c:v>3.978656</c:v>
                </c:pt>
                <c:pt idx="302">
                  <c:v>3.978656</c:v>
                </c:pt>
                <c:pt idx="303">
                  <c:v>3.978656</c:v>
                </c:pt>
                <c:pt idx="304">
                  <c:v>3.978656</c:v>
                </c:pt>
                <c:pt idx="305">
                  <c:v>3.978656</c:v>
                </c:pt>
                <c:pt idx="306">
                  <c:v>3.978656</c:v>
                </c:pt>
                <c:pt idx="307">
                  <c:v>3.978656</c:v>
                </c:pt>
                <c:pt idx="308">
                  <c:v>3.978656</c:v>
                </c:pt>
                <c:pt idx="309">
                  <c:v>3.978656</c:v>
                </c:pt>
                <c:pt idx="310">
                  <c:v>3.978656</c:v>
                </c:pt>
                <c:pt idx="311">
                  <c:v>3.978656</c:v>
                </c:pt>
                <c:pt idx="312">
                  <c:v>3.978656</c:v>
                </c:pt>
                <c:pt idx="313">
                  <c:v>3.978656</c:v>
                </c:pt>
                <c:pt idx="314">
                  <c:v>3.978656</c:v>
                </c:pt>
                <c:pt idx="315">
                  <c:v>3.978656</c:v>
                </c:pt>
                <c:pt idx="316">
                  <c:v>3.978656</c:v>
                </c:pt>
                <c:pt idx="317">
                  <c:v>3.978656</c:v>
                </c:pt>
                <c:pt idx="318">
                  <c:v>3.978656</c:v>
                </c:pt>
                <c:pt idx="319">
                  <c:v>3.978656</c:v>
                </c:pt>
                <c:pt idx="320">
                  <c:v>3.978656</c:v>
                </c:pt>
                <c:pt idx="321">
                  <c:v>3.978656</c:v>
                </c:pt>
                <c:pt idx="322">
                  <c:v>3.978656</c:v>
                </c:pt>
                <c:pt idx="323">
                  <c:v>3.978656</c:v>
                </c:pt>
                <c:pt idx="324">
                  <c:v>3.978656</c:v>
                </c:pt>
                <c:pt idx="325">
                  <c:v>3.978656</c:v>
                </c:pt>
                <c:pt idx="326">
                  <c:v>3.978656</c:v>
                </c:pt>
                <c:pt idx="327">
                  <c:v>3.978656</c:v>
                </c:pt>
                <c:pt idx="328">
                  <c:v>3.978656</c:v>
                </c:pt>
                <c:pt idx="329">
                  <c:v>3.978656</c:v>
                </c:pt>
                <c:pt idx="330">
                  <c:v>3.978656</c:v>
                </c:pt>
                <c:pt idx="331">
                  <c:v>3.978656</c:v>
                </c:pt>
                <c:pt idx="332">
                  <c:v>3.978656</c:v>
                </c:pt>
                <c:pt idx="333">
                  <c:v>3.978656</c:v>
                </c:pt>
                <c:pt idx="334">
                  <c:v>3.978656</c:v>
                </c:pt>
                <c:pt idx="335">
                  <c:v>3.978656</c:v>
                </c:pt>
                <c:pt idx="336">
                  <c:v>3.978656</c:v>
                </c:pt>
                <c:pt idx="337">
                  <c:v>3.978656</c:v>
                </c:pt>
                <c:pt idx="338">
                  <c:v>3.978656</c:v>
                </c:pt>
                <c:pt idx="339">
                  <c:v>3.978656</c:v>
                </c:pt>
                <c:pt idx="340">
                  <c:v>3.978656</c:v>
                </c:pt>
                <c:pt idx="341">
                  <c:v>3.978656</c:v>
                </c:pt>
                <c:pt idx="342">
                  <c:v>3.978656</c:v>
                </c:pt>
                <c:pt idx="343">
                  <c:v>3.978656</c:v>
                </c:pt>
                <c:pt idx="344">
                  <c:v>3.978656</c:v>
                </c:pt>
                <c:pt idx="345">
                  <c:v>3.978656</c:v>
                </c:pt>
                <c:pt idx="346">
                  <c:v>3.978656</c:v>
                </c:pt>
                <c:pt idx="347">
                  <c:v>3.978656</c:v>
                </c:pt>
                <c:pt idx="348">
                  <c:v>3.978656</c:v>
                </c:pt>
                <c:pt idx="349">
                  <c:v>3.978656</c:v>
                </c:pt>
                <c:pt idx="350">
                  <c:v>3.978656</c:v>
                </c:pt>
                <c:pt idx="351">
                  <c:v>3.978656</c:v>
                </c:pt>
                <c:pt idx="352">
                  <c:v>3.978656</c:v>
                </c:pt>
                <c:pt idx="353">
                  <c:v>3.978656</c:v>
                </c:pt>
                <c:pt idx="354">
                  <c:v>3.978656</c:v>
                </c:pt>
                <c:pt idx="355">
                  <c:v>3.978656</c:v>
                </c:pt>
                <c:pt idx="356">
                  <c:v>3.978656</c:v>
                </c:pt>
                <c:pt idx="357">
                  <c:v>3.978656</c:v>
                </c:pt>
                <c:pt idx="358">
                  <c:v>3.978656</c:v>
                </c:pt>
                <c:pt idx="359">
                  <c:v>3.978656</c:v>
                </c:pt>
                <c:pt idx="360">
                  <c:v>3.978656</c:v>
                </c:pt>
                <c:pt idx="361">
                  <c:v>3.978656</c:v>
                </c:pt>
                <c:pt idx="362">
                  <c:v>3.978656</c:v>
                </c:pt>
                <c:pt idx="363">
                  <c:v>3.978656</c:v>
                </c:pt>
                <c:pt idx="364">
                  <c:v>3.978656</c:v>
                </c:pt>
                <c:pt idx="365">
                  <c:v>3.978656</c:v>
                </c:pt>
                <c:pt idx="366">
                  <c:v>3.978656</c:v>
                </c:pt>
                <c:pt idx="367">
                  <c:v>4.02336</c:v>
                </c:pt>
                <c:pt idx="368">
                  <c:v>4.02336</c:v>
                </c:pt>
                <c:pt idx="369">
                  <c:v>4.02336</c:v>
                </c:pt>
                <c:pt idx="370">
                  <c:v>3.978656</c:v>
                </c:pt>
                <c:pt idx="371">
                  <c:v>3.978656</c:v>
                </c:pt>
                <c:pt idx="372">
                  <c:v>3.978656</c:v>
                </c:pt>
                <c:pt idx="373">
                  <c:v>3.978656</c:v>
                </c:pt>
                <c:pt idx="374">
                  <c:v>3.978656</c:v>
                </c:pt>
                <c:pt idx="375">
                  <c:v>3.978656</c:v>
                </c:pt>
                <c:pt idx="376">
                  <c:v>3.978656</c:v>
                </c:pt>
                <c:pt idx="377">
                  <c:v>4.02336</c:v>
                </c:pt>
                <c:pt idx="378">
                  <c:v>4.02336</c:v>
                </c:pt>
                <c:pt idx="379">
                  <c:v>4.02336</c:v>
                </c:pt>
                <c:pt idx="380">
                  <c:v>3.978656</c:v>
                </c:pt>
                <c:pt idx="381">
                  <c:v>3.978656</c:v>
                </c:pt>
                <c:pt idx="382">
                  <c:v>3.978656</c:v>
                </c:pt>
                <c:pt idx="383">
                  <c:v>3.978656</c:v>
                </c:pt>
                <c:pt idx="384">
                  <c:v>3.978656</c:v>
                </c:pt>
                <c:pt idx="385">
                  <c:v>3.978656</c:v>
                </c:pt>
                <c:pt idx="386">
                  <c:v>3.978656</c:v>
                </c:pt>
                <c:pt idx="387">
                  <c:v>3.978656</c:v>
                </c:pt>
                <c:pt idx="388">
                  <c:v>4.02336</c:v>
                </c:pt>
                <c:pt idx="389">
                  <c:v>4.02336</c:v>
                </c:pt>
                <c:pt idx="390">
                  <c:v>4.02336</c:v>
                </c:pt>
                <c:pt idx="391">
                  <c:v>3.978656</c:v>
                </c:pt>
                <c:pt idx="392">
                  <c:v>3.978656</c:v>
                </c:pt>
                <c:pt idx="393">
                  <c:v>3.978656</c:v>
                </c:pt>
                <c:pt idx="394">
                  <c:v>3.978656</c:v>
                </c:pt>
                <c:pt idx="395">
                  <c:v>3.978656</c:v>
                </c:pt>
                <c:pt idx="396">
                  <c:v>3.978656</c:v>
                </c:pt>
                <c:pt idx="397">
                  <c:v>3.978656</c:v>
                </c:pt>
                <c:pt idx="398">
                  <c:v>4.02336</c:v>
                </c:pt>
                <c:pt idx="399">
                  <c:v>4.02336</c:v>
                </c:pt>
                <c:pt idx="400">
                  <c:v>4.02336</c:v>
                </c:pt>
                <c:pt idx="401">
                  <c:v>4.02336</c:v>
                </c:pt>
                <c:pt idx="402">
                  <c:v>4.02336</c:v>
                </c:pt>
                <c:pt idx="403">
                  <c:v>4.02336</c:v>
                </c:pt>
                <c:pt idx="404">
                  <c:v>3.978656</c:v>
                </c:pt>
                <c:pt idx="405">
                  <c:v>3.978656</c:v>
                </c:pt>
                <c:pt idx="406">
                  <c:v>3.978656</c:v>
                </c:pt>
                <c:pt idx="407">
                  <c:v>3.978656</c:v>
                </c:pt>
                <c:pt idx="408">
                  <c:v>3.978656</c:v>
                </c:pt>
                <c:pt idx="409">
                  <c:v>4.02336</c:v>
                </c:pt>
                <c:pt idx="410">
                  <c:v>4.02336</c:v>
                </c:pt>
                <c:pt idx="411">
                  <c:v>3.978656</c:v>
                </c:pt>
                <c:pt idx="412">
                  <c:v>3.978656</c:v>
                </c:pt>
                <c:pt idx="413">
                  <c:v>3.978656</c:v>
                </c:pt>
                <c:pt idx="414">
                  <c:v>3.978656</c:v>
                </c:pt>
                <c:pt idx="415">
                  <c:v>3.933952</c:v>
                </c:pt>
                <c:pt idx="416">
                  <c:v>3.755136</c:v>
                </c:pt>
                <c:pt idx="417">
                  <c:v>3.531616</c:v>
                </c:pt>
                <c:pt idx="418">
                  <c:v>2.816352</c:v>
                </c:pt>
                <c:pt idx="419">
                  <c:v>1.922272</c:v>
                </c:pt>
                <c:pt idx="420">
                  <c:v>0.89408</c:v>
                </c:pt>
                <c:pt idx="421">
                  <c:v>0.536448</c:v>
                </c:pt>
                <c:pt idx="422">
                  <c:v>0.536448</c:v>
                </c:pt>
                <c:pt idx="423">
                  <c:v>0.312928</c:v>
                </c:pt>
                <c:pt idx="424">
                  <c:v>0.134112</c:v>
                </c:pt>
                <c:pt idx="425">
                  <c:v>0.134112</c:v>
                </c:pt>
                <c:pt idx="426">
                  <c:v>0.044704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0.044704</c:v>
                </c:pt>
                <c:pt idx="431">
                  <c:v>0.089408</c:v>
                </c:pt>
                <c:pt idx="432">
                  <c:v>0.134112</c:v>
                </c:pt>
                <c:pt idx="433">
                  <c:v>0.134112</c:v>
                </c:pt>
                <c:pt idx="434">
                  <c:v>0.134112</c:v>
                </c:pt>
                <c:pt idx="435">
                  <c:v>0.134112</c:v>
                </c:pt>
                <c:pt idx="436">
                  <c:v>0.134112</c:v>
                </c:pt>
                <c:pt idx="437">
                  <c:v>0.089408</c:v>
                </c:pt>
                <c:pt idx="438">
                  <c:v>0.044704</c:v>
                </c:pt>
                <c:pt idx="439">
                  <c:v>0</c:v>
                </c:pt>
                <c:pt idx="440">
                  <c:v>0</c:v>
                </c:pt>
                <c:pt idx="441">
                  <c:v>0.044704</c:v>
                </c:pt>
                <c:pt idx="442">
                  <c:v>0.044704</c:v>
                </c:pt>
                <c:pt idx="443">
                  <c:v>0.044704</c:v>
                </c:pt>
                <c:pt idx="444">
                  <c:v>0.044704</c:v>
                </c:pt>
                <c:pt idx="445">
                  <c:v>0.044704</c:v>
                </c:pt>
                <c:pt idx="446">
                  <c:v>0.044704</c:v>
                </c:pt>
                <c:pt idx="447">
                  <c:v>0.044704</c:v>
                </c:pt>
                <c:pt idx="448">
                  <c:v>0.044704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</c:numCache>
            </c:numRef>
          </c:yVal>
          <c:smooth val="1"/>
        </c:ser>
        <c:axId val="53722608"/>
        <c:axId val="39947304"/>
      </c:scatterChart>
      <c:valAx>
        <c:axId val="5372260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Час від армування, с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947304"/>
        <c:crosses val="autoZero"/>
        <c:crossBetween val="midCat"/>
      </c:valAx>
      <c:valAx>
        <c:axId val="399473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м/с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722608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78480</xdr:colOff>
      <xdr:row>16</xdr:row>
      <xdr:rowOff>11520</xdr:rowOff>
    </xdr:to>
    <xdr:graphicFrame>
      <xdr:nvGraphicFramePr>
        <xdr:cNvPr id="0" name="Chart 1"/>
        <xdr:cNvGraphicFramePr/>
      </xdr:nvGraphicFramePr>
      <xdr:xfrm>
        <a:off x="0" y="0"/>
        <a:ext cx="863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18</xdr:row>
      <xdr:rowOff>0</xdr:rowOff>
    </xdr:from>
    <xdr:to>
      <xdr:col>14</xdr:col>
      <xdr:colOff>78480</xdr:colOff>
      <xdr:row>34</xdr:row>
      <xdr:rowOff>11520</xdr:rowOff>
    </xdr:to>
    <xdr:graphicFrame>
      <xdr:nvGraphicFramePr>
        <xdr:cNvPr id="1" name="Chart 2"/>
        <xdr:cNvGraphicFramePr/>
      </xdr:nvGraphicFramePr>
      <xdr:xfrm>
        <a:off x="0" y="3429000"/>
        <a:ext cx="863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36</xdr:row>
      <xdr:rowOff>0</xdr:rowOff>
    </xdr:from>
    <xdr:to>
      <xdr:col>14</xdr:col>
      <xdr:colOff>78480</xdr:colOff>
      <xdr:row>52</xdr:row>
      <xdr:rowOff>11520</xdr:rowOff>
    </xdr:to>
    <xdr:graphicFrame>
      <xdr:nvGraphicFramePr>
        <xdr:cNvPr id="2" name="Chart 3"/>
        <xdr:cNvGraphicFramePr/>
      </xdr:nvGraphicFramePr>
      <xdr:xfrm>
        <a:off x="0" y="6858000"/>
        <a:ext cx="863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  <col collapsed="false" customWidth="true" hidden="false" outlineLevel="0" max="3" min="3" style="0" width="4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2" t="n">
        <f aca="false">CSV_QGC!A2</f>
        <v>46315.8913646065</v>
      </c>
      <c r="C2" s="3" t="s">
        <v>4</v>
      </c>
    </row>
    <row r="3" customFormat="false" ht="15" hidden="false" customHeight="false" outlineLevel="0" collapsed="false">
      <c r="A3" s="0" t="s">
        <v>5</v>
      </c>
      <c r="B3" s="2" t="n">
        <f aca="false">_xlfn.MINIFS(CSV_QGC!A2:A661,CSV_QGC!O2:O661,"&gt;0.3")</f>
        <v>46315.8917068171</v>
      </c>
      <c r="C3" s="3" t="s">
        <v>6</v>
      </c>
    </row>
    <row r="4" customFormat="false" ht="15" hidden="false" customHeight="false" outlineLevel="0" collapsed="false">
      <c r="A4" s="0" t="s">
        <v>7</v>
      </c>
      <c r="B4" s="2" t="n">
        <f aca="false">_xlfn.MAXIFS(CSV_QGC!A2:A661,CSV_QGC!O2:O661,"&gt;0.3")</f>
        <v>46315.898991412</v>
      </c>
      <c r="C4" s="3" t="s">
        <v>8</v>
      </c>
    </row>
    <row r="5" customFormat="false" ht="15" hidden="false" customHeight="false" outlineLevel="0" collapsed="false">
      <c r="A5" s="0" t="s">
        <v>9</v>
      </c>
      <c r="B5" s="4" t="n">
        <f aca="false">MAX(CSV_QGC!O2:O661)</f>
        <v>45.04944</v>
      </c>
      <c r="C5" s="3" t="s">
        <v>10</v>
      </c>
    </row>
    <row r="6" customFormat="false" ht="15" hidden="false" customHeight="false" outlineLevel="0" collapsed="false">
      <c r="A6" s="0" t="s">
        <v>11</v>
      </c>
      <c r="B6" s="4" t="n">
        <f aca="false">MAX(CSV_QGC!P2:P661)</f>
        <v>3.978656</v>
      </c>
      <c r="C6" s="3" t="s">
        <v>12</v>
      </c>
    </row>
    <row r="7" customFormat="false" ht="15" hidden="false" customHeight="false" outlineLevel="0" collapsed="false">
      <c r="A7" s="0" t="s">
        <v>13</v>
      </c>
      <c r="B7" s="4" t="n">
        <f aca="false">MAX(CSV_QGC!Q2:Q661)</f>
        <v>4.02336</v>
      </c>
      <c r="C7" s="3" t="s">
        <v>14</v>
      </c>
    </row>
    <row r="8" customFormat="false" ht="15" hidden="false" customHeight="false" outlineLevel="0" collapsed="false">
      <c r="A8" s="0" t="s">
        <v>15</v>
      </c>
      <c r="B8" s="4" t="n">
        <f aca="false">(CSV_QGC!A651-CSV_QGC!A2)*86400</f>
        <v>680.983000388</v>
      </c>
      <c r="C8" s="3" t="s">
        <v>16</v>
      </c>
    </row>
    <row r="9" customFormat="false" ht="15" hidden="false" customHeight="false" outlineLevel="0" collapsed="false">
      <c r="A9" s="0" t="s">
        <v>17</v>
      </c>
      <c r="B9" s="4" t="n">
        <f aca="false">(B4-B3)*86400</f>
        <v>629.389000288</v>
      </c>
      <c r="C9" s="3" t="s">
        <v>18</v>
      </c>
    </row>
    <row r="10" customFormat="false" ht="15" hidden="false" customHeight="false" outlineLevel="0" collapsed="false">
      <c r="A10" s="0" t="s">
        <v>19</v>
      </c>
      <c r="B10" s="5" t="n">
        <f aca="false">CSV_QGC!K2</f>
        <v>-35.3632621</v>
      </c>
    </row>
    <row r="11" customFormat="false" ht="15" hidden="false" customHeight="false" outlineLevel="0" collapsed="false">
      <c r="A11" s="0" t="s">
        <v>20</v>
      </c>
      <c r="B11" s="5" t="n">
        <f aca="false">CSV_QGC!L2</f>
        <v>149.1652374</v>
      </c>
    </row>
    <row r="12" customFormat="false" ht="15" hidden="false" customHeight="false" outlineLevel="0" collapsed="false">
      <c r="A12" s="0" t="s">
        <v>21</v>
      </c>
      <c r="B12" s="5" t="n">
        <f aca="false">CSV_QGC!K651</f>
        <v>-35.3630965</v>
      </c>
    </row>
    <row r="13" customFormat="false" ht="15" hidden="false" customHeight="false" outlineLevel="0" collapsed="false">
      <c r="A13" s="0" t="s">
        <v>22</v>
      </c>
      <c r="B13" s="5" t="n">
        <f aca="false">CSV_QGC!L651</f>
        <v>149.1637991</v>
      </c>
    </row>
    <row r="14" customFormat="false" ht="15" hidden="false" customHeight="false" outlineLevel="0" collapsed="false">
      <c r="A14" s="0" t="s">
        <v>23</v>
      </c>
      <c r="B14" s="4" t="n">
        <f aca="false">MAX(MAX(CSV_QGC!H2:H661),-MIN(CSV_QGC!H2:H661))</f>
        <v>4.9</v>
      </c>
    </row>
    <row r="15" customFormat="false" ht="15" hidden="false" customHeight="false" outlineLevel="0" collapsed="false">
      <c r="A15" s="0" t="s">
        <v>24</v>
      </c>
      <c r="B15" s="4" t="n">
        <f aca="false">AVERAGEIF(CSV_QGC!C2:C661,2,CSV_QGC!O2:O661)</f>
        <v>44.9912509090909</v>
      </c>
      <c r="C15" s="3" t="s">
        <v>25</v>
      </c>
    </row>
    <row r="16" customFormat="false" ht="15" hidden="false" customHeight="false" outlineLevel="0" collapsed="false">
      <c r="A16" s="0" t="s">
        <v>26</v>
      </c>
      <c r="B16" s="4" t="n">
        <f aca="false">CSV_QGC!M651*0.3048</f>
        <v>131.70408</v>
      </c>
      <c r="C16" s="3" t="s">
        <v>27</v>
      </c>
    </row>
    <row r="17" customFormat="false" ht="15" hidden="false" customHeight="false" outlineLevel="0" collapsed="false">
      <c r="A17" s="0" t="s">
        <v>28</v>
      </c>
      <c r="B17" s="6" t="n">
        <v>20.5</v>
      </c>
      <c r="C17" s="3" t="s">
        <v>29</v>
      </c>
    </row>
    <row r="18" customFormat="false" ht="15" hidden="false" customHeight="false" outlineLevel="0" collapsed="false">
      <c r="A18" s="0" t="s">
        <v>30</v>
      </c>
      <c r="B18" s="6" t="n">
        <v>131.8</v>
      </c>
      <c r="C18" s="3" t="s">
        <v>31</v>
      </c>
    </row>
    <row r="19" customFormat="false" ht="15" hidden="false" customHeight="false" outlineLevel="0" collapsed="false">
      <c r="A19" s="0" t="s">
        <v>32</v>
      </c>
      <c r="B19" s="0" t="s">
        <v>33</v>
      </c>
      <c r="C19" s="0" t="s">
        <v>34</v>
      </c>
    </row>
    <row r="20" customFormat="false" ht="15" hidden="false" customHeight="false" outlineLevel="0" collapsed="false">
      <c r="A20" s="0" t="s">
        <v>35</v>
      </c>
      <c r="B20" s="0" t="s">
        <v>36</v>
      </c>
      <c r="C20" s="0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sheetData>
    <row r="1" customFormat="false" ht="55.2" hidden="false" customHeight="false" outlineLevel="0" collapsed="false">
      <c r="A1" s="7" t="s">
        <v>38</v>
      </c>
      <c r="B1" s="7" t="s">
        <v>39</v>
      </c>
      <c r="C1" s="7" t="s">
        <v>40</v>
      </c>
      <c r="D1" s="7" t="s">
        <v>41</v>
      </c>
      <c r="E1" s="7" t="s">
        <v>42</v>
      </c>
      <c r="F1" s="7" t="s">
        <v>43</v>
      </c>
      <c r="G1" s="7" t="s">
        <v>44</v>
      </c>
      <c r="H1" s="7" t="s">
        <v>45</v>
      </c>
      <c r="I1" s="7" t="s">
        <v>46</v>
      </c>
      <c r="J1" s="7" t="s">
        <v>47</v>
      </c>
      <c r="K1" s="7" t="s">
        <v>48</v>
      </c>
      <c r="L1" s="7" t="s">
        <v>49</v>
      </c>
      <c r="M1" s="7" t="s">
        <v>50</v>
      </c>
      <c r="N1" s="7" t="s">
        <v>51</v>
      </c>
      <c r="O1" s="7" t="s">
        <v>52</v>
      </c>
      <c r="P1" s="7" t="s">
        <v>53</v>
      </c>
      <c r="Q1" s="7" t="s">
        <v>54</v>
      </c>
    </row>
    <row r="2" customFormat="false" ht="15" hidden="false" customHeight="false" outlineLevel="0" collapsed="false">
      <c r="A2" s="8" t="n">
        <v>46315.8913646065</v>
      </c>
      <c r="B2" s="3" t="s">
        <v>55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-35.3632621</v>
      </c>
      <c r="L2" s="0" t="n">
        <v>149.1652374</v>
      </c>
      <c r="M2" s="0" t="n">
        <v>0</v>
      </c>
      <c r="N2" s="3" t="n">
        <f aca="false">(A2-$A$2)*86400</f>
        <v>0</v>
      </c>
      <c r="O2" s="3" t="n">
        <f aca="false">D2*0.3048</f>
        <v>0</v>
      </c>
      <c r="P2" s="3" t="n">
        <f aca="false">E2*0.44704</f>
        <v>0</v>
      </c>
      <c r="Q2" s="3" t="n">
        <f aca="false">F2*0.44704</f>
        <v>0</v>
      </c>
    </row>
    <row r="3" customFormat="false" ht="15" hidden="false" customHeight="false" outlineLevel="0" collapsed="false">
      <c r="A3" s="8" t="n">
        <v>46315.8913760764</v>
      </c>
      <c r="B3" s="3" t="s">
        <v>56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-35.3632621</v>
      </c>
      <c r="L3" s="0" t="n">
        <v>149.1652374</v>
      </c>
      <c r="M3" s="0" t="n">
        <v>0</v>
      </c>
      <c r="N3" s="3" t="n">
        <f aca="false">(A3-$A$2)*86400</f>
        <v>0.990999955</v>
      </c>
      <c r="O3" s="3" t="n">
        <f aca="false">D3*0.3048</f>
        <v>0</v>
      </c>
      <c r="P3" s="3" t="n">
        <f aca="false">E3*0.44704</f>
        <v>0</v>
      </c>
      <c r="Q3" s="3" t="n">
        <f aca="false">F3*0.44704</f>
        <v>0</v>
      </c>
    </row>
    <row r="4" customFormat="false" ht="15" hidden="false" customHeight="false" outlineLevel="0" collapsed="false">
      <c r="A4" s="8" t="n">
        <v>46315.8913871644</v>
      </c>
      <c r="B4" s="3" t="s">
        <v>56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-35.3632621</v>
      </c>
      <c r="L4" s="0" t="n">
        <v>149.1652374</v>
      </c>
      <c r="M4" s="0" t="n">
        <v>0</v>
      </c>
      <c r="N4" s="3" t="n">
        <f aca="false">(A4-$A$2)*86400</f>
        <v>1.948999939</v>
      </c>
      <c r="O4" s="3" t="n">
        <f aca="false">D4*0.3048</f>
        <v>0</v>
      </c>
      <c r="P4" s="3" t="n">
        <f aca="false">E4*0.44704</f>
        <v>0</v>
      </c>
      <c r="Q4" s="3" t="n">
        <f aca="false">F4*0.44704</f>
        <v>0</v>
      </c>
    </row>
    <row r="5" customFormat="false" ht="15" hidden="false" customHeight="false" outlineLevel="0" collapsed="false">
      <c r="A5" s="8" t="n">
        <v>46315.8913985417</v>
      </c>
      <c r="B5" s="3" t="s">
        <v>57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-35.3632621</v>
      </c>
      <c r="L5" s="0" t="n">
        <v>149.1652374</v>
      </c>
      <c r="M5" s="0" t="n">
        <v>0</v>
      </c>
      <c r="N5" s="3" t="n">
        <f aca="false">(A5-$A$2)*86400</f>
        <v>2.932000416</v>
      </c>
      <c r="O5" s="3" t="n">
        <f aca="false">D5*0.3048</f>
        <v>0</v>
      </c>
      <c r="P5" s="3" t="n">
        <f aca="false">E5*0.44704</f>
        <v>0</v>
      </c>
      <c r="Q5" s="3" t="n">
        <f aca="false">F5*0.44704</f>
        <v>0</v>
      </c>
    </row>
    <row r="6" customFormat="false" ht="15" hidden="false" customHeight="false" outlineLevel="0" collapsed="false">
      <c r="A6" s="8" t="n">
        <v>46315.8914103472</v>
      </c>
      <c r="B6" s="3" t="s">
        <v>58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-35.3632621</v>
      </c>
      <c r="L6" s="0" t="n">
        <v>149.1652374</v>
      </c>
      <c r="M6" s="0" t="n">
        <v>0</v>
      </c>
      <c r="N6" s="3" t="n">
        <f aca="false">(A6-$A$2)*86400</f>
        <v>3.951999661</v>
      </c>
      <c r="O6" s="3" t="n">
        <f aca="false">D6*0.3048</f>
        <v>0</v>
      </c>
      <c r="P6" s="3" t="n">
        <f aca="false">E6*0.44704</f>
        <v>0</v>
      </c>
      <c r="Q6" s="3" t="n">
        <f aca="false">F6*0.44704</f>
        <v>0</v>
      </c>
    </row>
    <row r="7" customFormat="false" ht="15" hidden="false" customHeight="false" outlineLevel="0" collapsed="false">
      <c r="A7" s="8" t="n">
        <v>46315.8914218056</v>
      </c>
      <c r="B7" s="3" t="s">
        <v>59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-35.3632621</v>
      </c>
      <c r="L7" s="0" t="n">
        <v>149.1652374</v>
      </c>
      <c r="M7" s="0" t="n">
        <v>0</v>
      </c>
      <c r="N7" s="3" t="n">
        <f aca="false">(A7-$A$2)*86400</f>
        <v>4.942000075</v>
      </c>
      <c r="O7" s="3" t="n">
        <f aca="false">D7*0.3048</f>
        <v>0</v>
      </c>
      <c r="P7" s="3" t="n">
        <f aca="false">E7*0.44704</f>
        <v>0</v>
      </c>
      <c r="Q7" s="3" t="n">
        <f aca="false">F7*0.44704</f>
        <v>0</v>
      </c>
    </row>
    <row r="8" customFormat="false" ht="15" hidden="false" customHeight="false" outlineLevel="0" collapsed="false">
      <c r="A8" s="8" t="n">
        <v>46315.8914333912</v>
      </c>
      <c r="B8" s="3" t="s">
        <v>60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-35.3632621</v>
      </c>
      <c r="L8" s="0" t="n">
        <v>149.1652374</v>
      </c>
      <c r="M8" s="0" t="n">
        <v>0</v>
      </c>
      <c r="N8" s="3" t="n">
        <f aca="false">(A8-$A$2)*86400</f>
        <v>5.94299985</v>
      </c>
      <c r="O8" s="3" t="n">
        <f aca="false">D8*0.3048</f>
        <v>0</v>
      </c>
      <c r="P8" s="3" t="n">
        <f aca="false">E8*0.44704</f>
        <v>0</v>
      </c>
      <c r="Q8" s="3" t="n">
        <f aca="false">F8*0.44704</f>
        <v>0</v>
      </c>
    </row>
    <row r="9" customFormat="false" ht="15" hidden="false" customHeight="false" outlineLevel="0" collapsed="false">
      <c r="A9" s="8" t="n">
        <v>46315.8914448032</v>
      </c>
      <c r="B9" s="3" t="s">
        <v>61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-35.3632621</v>
      </c>
      <c r="L9" s="0" t="n">
        <v>149.1652374</v>
      </c>
      <c r="M9" s="0" t="n">
        <v>0</v>
      </c>
      <c r="N9" s="3" t="n">
        <f aca="false">(A9-$A$2)*86400</f>
        <v>6.928999582</v>
      </c>
      <c r="O9" s="3" t="n">
        <f aca="false">D9*0.3048</f>
        <v>0</v>
      </c>
      <c r="P9" s="3" t="n">
        <f aca="false">E9*0.44704</f>
        <v>0</v>
      </c>
      <c r="Q9" s="3" t="n">
        <f aca="false">F9*0.44704</f>
        <v>0</v>
      </c>
    </row>
    <row r="10" customFormat="false" ht="15" hidden="false" customHeight="false" outlineLevel="0" collapsed="false">
      <c r="A10" s="8" t="n">
        <v>46315.8914566782</v>
      </c>
      <c r="B10" s="3" t="s">
        <v>62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-35.3632621</v>
      </c>
      <c r="L10" s="0" t="n">
        <v>149.1652374</v>
      </c>
      <c r="M10" s="0" t="n">
        <v>0</v>
      </c>
      <c r="N10" s="3" t="n">
        <f aca="false">(A10-$A$2)*86400</f>
        <v>7.954999851</v>
      </c>
      <c r="O10" s="3" t="n">
        <f aca="false">D10*0.3048</f>
        <v>0</v>
      </c>
      <c r="P10" s="3" t="n">
        <f aca="false">E10*0.44704</f>
        <v>0</v>
      </c>
      <c r="Q10" s="3" t="n">
        <f aca="false">F10*0.44704</f>
        <v>0</v>
      </c>
    </row>
    <row r="11" customFormat="false" ht="15" hidden="false" customHeight="false" outlineLevel="0" collapsed="false">
      <c r="A11" s="8" t="n">
        <v>46315.891468044</v>
      </c>
      <c r="B11" s="3" t="s">
        <v>63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-35.3632621</v>
      </c>
      <c r="L11" s="0" t="n">
        <v>149.1652374</v>
      </c>
      <c r="M11" s="0" t="n">
        <v>0</v>
      </c>
      <c r="N11" s="3" t="n">
        <f aca="false">(A11-$A$2)*86400</f>
        <v>8.936999528</v>
      </c>
      <c r="O11" s="3" t="n">
        <f aca="false">D11*0.3048</f>
        <v>0</v>
      </c>
      <c r="P11" s="3" t="n">
        <f aca="false">E11*0.44704</f>
        <v>0</v>
      </c>
      <c r="Q11" s="3" t="n">
        <f aca="false">F11*0.44704</f>
        <v>0</v>
      </c>
    </row>
    <row r="12" customFormat="false" ht="15" hidden="false" customHeight="false" outlineLevel="0" collapsed="false">
      <c r="A12" s="8" t="n">
        <v>46315.8914797454</v>
      </c>
      <c r="B12" s="3" t="s">
        <v>64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-35.3632621</v>
      </c>
      <c r="L12" s="0" t="n">
        <v>149.1652374</v>
      </c>
      <c r="M12" s="0" t="n">
        <v>0</v>
      </c>
      <c r="N12" s="3" t="n">
        <f aca="false">(A12-$A$2)*86400</f>
        <v>9.947999753</v>
      </c>
      <c r="O12" s="3" t="n">
        <f aca="false">D12*0.3048</f>
        <v>0</v>
      </c>
      <c r="P12" s="3" t="n">
        <f aca="false">E12*0.44704</f>
        <v>0</v>
      </c>
      <c r="Q12" s="3" t="n">
        <f aca="false">F12*0.44704</f>
        <v>0</v>
      </c>
    </row>
    <row r="13" customFormat="false" ht="15" hidden="false" customHeight="false" outlineLevel="0" collapsed="false">
      <c r="A13" s="8" t="n">
        <v>46315.8914913542</v>
      </c>
      <c r="B13" s="3" t="s">
        <v>65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-35.3632621</v>
      </c>
      <c r="L13" s="0" t="n">
        <v>149.1652374</v>
      </c>
      <c r="M13" s="0" t="n">
        <v>0</v>
      </c>
      <c r="N13" s="3" t="n">
        <f aca="false">(A13-$A$2)*86400</f>
        <v>10.950999869</v>
      </c>
      <c r="O13" s="3" t="n">
        <f aca="false">D13*0.3048</f>
        <v>0</v>
      </c>
      <c r="P13" s="3" t="n">
        <f aca="false">E13*0.44704</f>
        <v>0</v>
      </c>
      <c r="Q13" s="3" t="n">
        <f aca="false">F13*0.44704</f>
        <v>0</v>
      </c>
    </row>
    <row r="14" customFormat="false" ht="15" hidden="false" customHeight="false" outlineLevel="0" collapsed="false">
      <c r="A14" s="8" t="n">
        <v>46315.8915030671</v>
      </c>
      <c r="B14" s="3" t="s">
        <v>66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-35.3632621</v>
      </c>
      <c r="L14" s="0" t="n">
        <v>149.1652374</v>
      </c>
      <c r="M14" s="0" t="n">
        <v>0</v>
      </c>
      <c r="N14" s="3" t="n">
        <f aca="false">(A14-$A$2)*86400</f>
        <v>11.962999636</v>
      </c>
      <c r="O14" s="3" t="n">
        <f aca="false">D14*0.3048</f>
        <v>0</v>
      </c>
      <c r="P14" s="3" t="n">
        <f aca="false">E14*0.44704</f>
        <v>0</v>
      </c>
      <c r="Q14" s="3" t="n">
        <f aca="false">F14*0.44704</f>
        <v>0</v>
      </c>
    </row>
    <row r="15" customFormat="false" ht="15" hidden="false" customHeight="false" outlineLevel="0" collapsed="false">
      <c r="A15" s="8" t="n">
        <v>46315.8915143403</v>
      </c>
      <c r="B15" s="3" t="s">
        <v>67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-35.3632621</v>
      </c>
      <c r="L15" s="0" t="n">
        <v>149.1652374</v>
      </c>
      <c r="M15" s="0" t="n">
        <v>0</v>
      </c>
      <c r="N15" s="3" t="n">
        <f aca="false">(A15-$A$2)*86400</f>
        <v>12.936999835</v>
      </c>
      <c r="O15" s="3" t="n">
        <f aca="false">D15*0.3048</f>
        <v>0</v>
      </c>
      <c r="P15" s="3" t="n">
        <f aca="false">E15*0.44704</f>
        <v>0</v>
      </c>
      <c r="Q15" s="3" t="n">
        <f aca="false">F15*0.44704</f>
        <v>0</v>
      </c>
    </row>
    <row r="16" customFormat="false" ht="15" hidden="false" customHeight="false" outlineLevel="0" collapsed="false">
      <c r="A16" s="8" t="n">
        <v>46315.8915260764</v>
      </c>
      <c r="B16" s="3" t="s">
        <v>68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-35.3632621</v>
      </c>
      <c r="L16" s="0" t="n">
        <v>149.1652374</v>
      </c>
      <c r="M16" s="0" t="n">
        <v>0</v>
      </c>
      <c r="N16" s="3" t="n">
        <f aca="false">(A16-$A$2)*86400</f>
        <v>13.950999942</v>
      </c>
      <c r="O16" s="3" t="n">
        <f aca="false">D16*0.3048</f>
        <v>0</v>
      </c>
      <c r="P16" s="3" t="n">
        <f aca="false">E16*0.44704</f>
        <v>0</v>
      </c>
      <c r="Q16" s="3" t="n">
        <f aca="false">F16*0.44704</f>
        <v>0</v>
      </c>
    </row>
    <row r="17" customFormat="false" ht="15" hidden="false" customHeight="false" outlineLevel="0" collapsed="false">
      <c r="A17" s="8" t="n">
        <v>46315.8915377778</v>
      </c>
      <c r="B17" s="3" t="s">
        <v>69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-35.3632621</v>
      </c>
      <c r="L17" s="0" t="n">
        <v>149.1652374</v>
      </c>
      <c r="M17" s="0" t="n">
        <v>0</v>
      </c>
      <c r="N17" s="3" t="n">
        <f aca="false">(A17-$A$2)*86400</f>
        <v>14.962000166</v>
      </c>
      <c r="O17" s="3" t="n">
        <f aca="false">D17*0.3048</f>
        <v>0</v>
      </c>
      <c r="P17" s="3" t="n">
        <f aca="false">E17*0.44704</f>
        <v>0</v>
      </c>
      <c r="Q17" s="3" t="n">
        <f aca="false">F17*0.44704</f>
        <v>0</v>
      </c>
    </row>
    <row r="18" customFormat="false" ht="15" hidden="false" customHeight="false" outlineLevel="0" collapsed="false">
      <c r="A18" s="8" t="n">
        <v>46315.8915492593</v>
      </c>
      <c r="B18" s="3" t="s">
        <v>70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-35.3632621</v>
      </c>
      <c r="L18" s="0" t="n">
        <v>149.1652374</v>
      </c>
      <c r="M18" s="0" t="n">
        <v>0</v>
      </c>
      <c r="N18" s="3" t="n">
        <f aca="false">(A18-$A$2)*86400</f>
        <v>15.953999664</v>
      </c>
      <c r="O18" s="3" t="n">
        <f aca="false">D18*0.3048</f>
        <v>0</v>
      </c>
      <c r="P18" s="3" t="n">
        <f aca="false">E18*0.44704</f>
        <v>0</v>
      </c>
      <c r="Q18" s="3" t="n">
        <f aca="false">F18*0.44704</f>
        <v>0</v>
      </c>
    </row>
    <row r="19" customFormat="false" ht="15" hidden="false" customHeight="false" outlineLevel="0" collapsed="false">
      <c r="A19" s="8" t="n">
        <v>46315.8915852431</v>
      </c>
      <c r="B19" s="3" t="s">
        <v>71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-35.3632621</v>
      </c>
      <c r="L19" s="0" t="n">
        <v>149.1652374</v>
      </c>
      <c r="M19" s="0" t="n">
        <v>0</v>
      </c>
      <c r="N19" s="3" t="n">
        <f aca="false">(A19-$A$2)*86400</f>
        <v>19.063000101</v>
      </c>
      <c r="O19" s="3" t="n">
        <f aca="false">D19*0.3048</f>
        <v>0</v>
      </c>
      <c r="P19" s="3" t="n">
        <f aca="false">E19*0.44704</f>
        <v>0</v>
      </c>
      <c r="Q19" s="3" t="n">
        <f aca="false">F19*0.44704</f>
        <v>0</v>
      </c>
    </row>
    <row r="20" customFormat="false" ht="15" hidden="false" customHeight="false" outlineLevel="0" collapsed="false">
      <c r="A20" s="8" t="n">
        <v>46315.8916156945</v>
      </c>
      <c r="B20" s="3" t="s">
        <v>72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-35.3632621</v>
      </c>
      <c r="L20" s="0" t="n">
        <v>149.1652374</v>
      </c>
      <c r="M20" s="0" t="n">
        <v>0</v>
      </c>
      <c r="N20" s="3" t="n">
        <f aca="false">(A20-$A$2)*86400</f>
        <v>21.694000088</v>
      </c>
      <c r="O20" s="3" t="n">
        <f aca="false">D20*0.3048</f>
        <v>0</v>
      </c>
      <c r="P20" s="3" t="n">
        <f aca="false">E20*0.44704</f>
        <v>0</v>
      </c>
      <c r="Q20" s="3" t="n">
        <f aca="false">F20*0.44704</f>
        <v>0</v>
      </c>
    </row>
    <row r="21" customFormat="false" ht="15" hidden="false" customHeight="false" outlineLevel="0" collapsed="false">
      <c r="A21" s="8" t="n">
        <v>46315.8916471644</v>
      </c>
      <c r="B21" s="3" t="s">
        <v>73</v>
      </c>
      <c r="C21" s="0" t="n">
        <v>0</v>
      </c>
      <c r="D21" s="0" t="n">
        <v>0.1</v>
      </c>
      <c r="E21" s="0" t="n">
        <v>0</v>
      </c>
      <c r="F21" s="0" t="n">
        <v>0</v>
      </c>
      <c r="G21" s="0" t="n">
        <v>0.5</v>
      </c>
      <c r="H21" s="0" t="n">
        <v>0.2</v>
      </c>
      <c r="I21" s="0" t="n">
        <v>0</v>
      </c>
      <c r="J21" s="0" t="n">
        <v>0</v>
      </c>
      <c r="K21" s="0" t="n">
        <v>-35.3632621</v>
      </c>
      <c r="L21" s="0" t="n">
        <v>149.1652374</v>
      </c>
      <c r="M21" s="0" t="n">
        <v>0</v>
      </c>
      <c r="N21" s="3" t="n">
        <f aca="false">(A21-$A$2)*86400</f>
        <v>24.413</v>
      </c>
      <c r="O21" s="3" t="n">
        <f aca="false">D21*0.3048</f>
        <v>0.03048</v>
      </c>
      <c r="P21" s="3" t="n">
        <f aca="false">E21*0.44704</f>
        <v>0</v>
      </c>
      <c r="Q21" s="3" t="n">
        <f aca="false">F21*0.44704</f>
        <v>0</v>
      </c>
    </row>
    <row r="22" customFormat="false" ht="15" hidden="false" customHeight="false" outlineLevel="0" collapsed="false">
      <c r="A22" s="8" t="n">
        <v>46315.8916589931</v>
      </c>
      <c r="B22" s="3" t="s">
        <v>74</v>
      </c>
      <c r="C22" s="0" t="n">
        <v>0</v>
      </c>
      <c r="D22" s="0" t="n">
        <v>0.1</v>
      </c>
      <c r="E22" s="0" t="n">
        <v>0</v>
      </c>
      <c r="F22" s="0" t="n">
        <v>0</v>
      </c>
      <c r="G22" s="0" t="n">
        <v>0.5</v>
      </c>
      <c r="H22" s="0" t="n">
        <v>0.2</v>
      </c>
      <c r="I22" s="0" t="n">
        <v>0</v>
      </c>
      <c r="J22" s="0" t="n">
        <v>0</v>
      </c>
      <c r="K22" s="0" t="n">
        <v>-35.3632621</v>
      </c>
      <c r="L22" s="0" t="n">
        <v>149.1652374</v>
      </c>
      <c r="M22" s="0" t="n">
        <v>0</v>
      </c>
      <c r="N22" s="3" t="n">
        <f aca="false">(A22-$A$2)*86400</f>
        <v>25.434999587</v>
      </c>
      <c r="O22" s="3" t="n">
        <f aca="false">D22*0.3048</f>
        <v>0.03048</v>
      </c>
      <c r="P22" s="3" t="n">
        <f aca="false">E22*0.44704</f>
        <v>0</v>
      </c>
      <c r="Q22" s="3" t="n">
        <f aca="false">F22*0.44704</f>
        <v>0</v>
      </c>
    </row>
    <row r="23" customFormat="false" ht="15" hidden="false" customHeight="false" outlineLevel="0" collapsed="false">
      <c r="A23" s="8" t="n">
        <v>46315.8916729977</v>
      </c>
      <c r="B23" s="3" t="s">
        <v>75</v>
      </c>
      <c r="C23" s="0" t="n">
        <v>0</v>
      </c>
      <c r="D23" s="0" t="n">
        <v>0.4</v>
      </c>
      <c r="E23" s="0" t="n">
        <v>0</v>
      </c>
      <c r="F23" s="0" t="n">
        <v>0</v>
      </c>
      <c r="G23" s="0" t="n">
        <v>1</v>
      </c>
      <c r="H23" s="0" t="n">
        <v>0.1</v>
      </c>
      <c r="I23" s="0" t="n">
        <v>0</v>
      </c>
      <c r="J23" s="0" t="n">
        <v>0</v>
      </c>
      <c r="K23" s="0" t="n">
        <v>-35.3632621</v>
      </c>
      <c r="L23" s="0" t="n">
        <v>149.1652374</v>
      </c>
      <c r="M23" s="0" t="n">
        <v>0</v>
      </c>
      <c r="N23" s="3" t="n">
        <f aca="false">(A23-$A$2)*86400</f>
        <v>26.644999184</v>
      </c>
      <c r="O23" s="3" t="n">
        <f aca="false">D23*0.3048</f>
        <v>0.12192</v>
      </c>
      <c r="P23" s="3" t="n">
        <f aca="false">E23*0.44704</f>
        <v>0</v>
      </c>
      <c r="Q23" s="3" t="n">
        <f aca="false">F23*0.44704</f>
        <v>0</v>
      </c>
    </row>
    <row r="24" customFormat="false" ht="15" hidden="false" customHeight="false" outlineLevel="0" collapsed="false">
      <c r="A24" s="8" t="n">
        <v>46315.8916832523</v>
      </c>
      <c r="B24" s="3" t="s">
        <v>76</v>
      </c>
      <c r="C24" s="0" t="n">
        <v>0</v>
      </c>
      <c r="D24" s="0" t="n">
        <v>0.4</v>
      </c>
      <c r="E24" s="0" t="n">
        <v>0</v>
      </c>
      <c r="F24" s="0" t="n">
        <v>0</v>
      </c>
      <c r="G24" s="0" t="n">
        <v>1</v>
      </c>
      <c r="H24" s="0" t="n">
        <v>0.1</v>
      </c>
      <c r="I24" s="0" t="n">
        <v>0</v>
      </c>
      <c r="J24" s="0" t="n">
        <v>0</v>
      </c>
      <c r="K24" s="0" t="n">
        <v>-35.3632621</v>
      </c>
      <c r="L24" s="0" t="n">
        <v>149.1652374</v>
      </c>
      <c r="M24" s="0" t="n">
        <v>0</v>
      </c>
      <c r="N24" s="3" t="n">
        <f aca="false">(A24-$A$2)*86400</f>
        <v>27.531000087</v>
      </c>
      <c r="O24" s="3" t="n">
        <f aca="false">D24*0.3048</f>
        <v>0.12192</v>
      </c>
      <c r="P24" s="3" t="n">
        <f aca="false">E24*0.44704</f>
        <v>0</v>
      </c>
      <c r="Q24" s="3" t="n">
        <f aca="false">F24*0.44704</f>
        <v>0</v>
      </c>
    </row>
    <row r="25" customFormat="false" ht="15" hidden="false" customHeight="false" outlineLevel="0" collapsed="false">
      <c r="A25" s="8" t="n">
        <v>46315.8916941667</v>
      </c>
      <c r="B25" s="3" t="s">
        <v>77</v>
      </c>
      <c r="C25" s="0" t="n">
        <v>0</v>
      </c>
      <c r="D25" s="0" t="n">
        <v>0.9</v>
      </c>
      <c r="E25" s="0" t="n">
        <v>0</v>
      </c>
      <c r="F25" s="0" t="n">
        <v>0</v>
      </c>
      <c r="G25" s="0" t="n">
        <v>1.6</v>
      </c>
      <c r="H25" s="0" t="n">
        <v>0</v>
      </c>
      <c r="I25" s="0" t="n">
        <v>0</v>
      </c>
      <c r="J25" s="0" t="n">
        <v>0</v>
      </c>
      <c r="K25" s="0" t="n">
        <v>-35.3632621</v>
      </c>
      <c r="L25" s="0" t="n">
        <v>149.1652374</v>
      </c>
      <c r="M25" s="0" t="n">
        <v>0</v>
      </c>
      <c r="N25" s="3" t="n">
        <f aca="false">(A25-$A$2)*86400</f>
        <v>28.474000026</v>
      </c>
      <c r="O25" s="3" t="n">
        <f aca="false">D25*0.3048</f>
        <v>0.27432</v>
      </c>
      <c r="P25" s="3" t="n">
        <f aca="false">E25*0.44704</f>
        <v>0</v>
      </c>
      <c r="Q25" s="3" t="n">
        <f aca="false">F25*0.44704</f>
        <v>0</v>
      </c>
    </row>
    <row r="26" customFormat="false" ht="15" hidden="false" customHeight="false" outlineLevel="0" collapsed="false">
      <c r="A26" s="8" t="n">
        <v>46315.8917068171</v>
      </c>
      <c r="B26" s="3" t="s">
        <v>78</v>
      </c>
      <c r="C26" s="0" t="n">
        <v>0</v>
      </c>
      <c r="D26" s="0" t="n">
        <v>1.5</v>
      </c>
      <c r="E26" s="0" t="n">
        <v>0</v>
      </c>
      <c r="F26" s="0" t="n">
        <v>0</v>
      </c>
      <c r="G26" s="0" t="n">
        <v>2.1</v>
      </c>
      <c r="H26" s="0" t="n">
        <v>-0.1</v>
      </c>
      <c r="I26" s="0" t="n">
        <v>0</v>
      </c>
      <c r="J26" s="0" t="n">
        <v>0</v>
      </c>
      <c r="K26" s="0" t="n">
        <v>-35.3632621</v>
      </c>
      <c r="L26" s="0" t="n">
        <v>149.1652374</v>
      </c>
      <c r="M26" s="0" t="n">
        <v>0</v>
      </c>
      <c r="N26" s="3" t="n">
        <f aca="false">(A26-$A$2)*86400</f>
        <v>29.56699978</v>
      </c>
      <c r="O26" s="3" t="n">
        <f aca="false">D26*0.3048</f>
        <v>0.4572</v>
      </c>
      <c r="P26" s="3" t="n">
        <f aca="false">E26*0.44704</f>
        <v>0</v>
      </c>
      <c r="Q26" s="3" t="n">
        <f aca="false">F26*0.44704</f>
        <v>0</v>
      </c>
    </row>
    <row r="27" customFormat="false" ht="15" hidden="false" customHeight="false" outlineLevel="0" collapsed="false">
      <c r="A27" s="8" t="n">
        <v>46315.8917177431</v>
      </c>
      <c r="B27" s="3" t="s">
        <v>79</v>
      </c>
      <c r="C27" s="0" t="n">
        <v>0</v>
      </c>
      <c r="D27" s="0" t="n">
        <v>1.5</v>
      </c>
      <c r="E27" s="0" t="n">
        <v>0</v>
      </c>
      <c r="F27" s="0" t="n">
        <v>0</v>
      </c>
      <c r="G27" s="0" t="n">
        <v>2.1</v>
      </c>
      <c r="H27" s="0" t="n">
        <v>-0.1</v>
      </c>
      <c r="I27" s="0" t="n">
        <v>0</v>
      </c>
      <c r="J27" s="0" t="n">
        <v>0</v>
      </c>
      <c r="K27" s="0" t="n">
        <v>-35.3632621</v>
      </c>
      <c r="L27" s="0" t="n">
        <v>149.1652374</v>
      </c>
      <c r="M27" s="0" t="n">
        <v>0</v>
      </c>
      <c r="N27" s="3" t="n">
        <f aca="false">(A27-$A$2)*86400</f>
        <v>30.511000519</v>
      </c>
      <c r="O27" s="3" t="n">
        <f aca="false">D27*0.3048</f>
        <v>0.4572</v>
      </c>
      <c r="P27" s="3" t="n">
        <f aca="false">E27*0.44704</f>
        <v>0</v>
      </c>
      <c r="Q27" s="3" t="n">
        <f aca="false">F27*0.44704</f>
        <v>0</v>
      </c>
    </row>
    <row r="28" customFormat="false" ht="15" hidden="false" customHeight="false" outlineLevel="0" collapsed="false">
      <c r="A28" s="8" t="n">
        <v>46315.8917291551</v>
      </c>
      <c r="B28" s="3" t="s">
        <v>80</v>
      </c>
      <c r="C28" s="0" t="n">
        <v>0</v>
      </c>
      <c r="D28" s="0" t="n">
        <v>2.4</v>
      </c>
      <c r="E28" s="0" t="n">
        <v>0</v>
      </c>
      <c r="F28" s="0" t="n">
        <v>0</v>
      </c>
      <c r="G28" s="0" t="n">
        <v>2.7</v>
      </c>
      <c r="H28" s="0" t="n">
        <v>-0.2</v>
      </c>
      <c r="I28" s="0" t="n">
        <v>0</v>
      </c>
      <c r="J28" s="0" t="n">
        <v>0</v>
      </c>
      <c r="K28" s="0" t="n">
        <v>-35.3632621</v>
      </c>
      <c r="L28" s="0" t="n">
        <v>149.1652374</v>
      </c>
      <c r="M28" s="0" t="n">
        <v>0</v>
      </c>
      <c r="N28" s="3" t="n">
        <f aca="false">(A28-$A$2)*86400</f>
        <v>31.496999622</v>
      </c>
      <c r="O28" s="3" t="n">
        <f aca="false">D28*0.3048</f>
        <v>0.73152</v>
      </c>
      <c r="P28" s="3" t="n">
        <f aca="false">E28*0.44704</f>
        <v>0</v>
      </c>
      <c r="Q28" s="3" t="n">
        <f aca="false">F28*0.44704</f>
        <v>0</v>
      </c>
    </row>
    <row r="29" customFormat="false" ht="15" hidden="false" customHeight="false" outlineLevel="0" collapsed="false">
      <c r="A29" s="8" t="n">
        <v>46315.8917419676</v>
      </c>
      <c r="B29" s="3" t="s">
        <v>81</v>
      </c>
      <c r="C29" s="0" t="n">
        <v>0</v>
      </c>
      <c r="D29" s="0" t="n">
        <v>3.5</v>
      </c>
      <c r="E29" s="0" t="n">
        <v>0</v>
      </c>
      <c r="F29" s="0" t="n">
        <v>0</v>
      </c>
      <c r="G29" s="0" t="n">
        <v>3.3</v>
      </c>
      <c r="H29" s="0" t="n">
        <v>-0.2</v>
      </c>
      <c r="I29" s="0" t="n">
        <v>0</v>
      </c>
      <c r="J29" s="0" t="n">
        <v>0</v>
      </c>
      <c r="K29" s="0" t="n">
        <v>-35.3632621</v>
      </c>
      <c r="L29" s="0" t="n">
        <v>149.1652375</v>
      </c>
      <c r="M29" s="0" t="n">
        <v>0</v>
      </c>
      <c r="N29" s="3" t="n">
        <f aca="false">(A29-$A$2)*86400</f>
        <v>32.603999879</v>
      </c>
      <c r="O29" s="3" t="n">
        <f aca="false">D29*0.3048</f>
        <v>1.0668</v>
      </c>
      <c r="P29" s="3" t="n">
        <f aca="false">E29*0.44704</f>
        <v>0</v>
      </c>
      <c r="Q29" s="3" t="n">
        <f aca="false">F29*0.44704</f>
        <v>0</v>
      </c>
    </row>
    <row r="30" customFormat="false" ht="15" hidden="false" customHeight="false" outlineLevel="0" collapsed="false">
      <c r="A30" s="8" t="n">
        <v>46315.8917518056</v>
      </c>
      <c r="B30" s="3" t="s">
        <v>82</v>
      </c>
      <c r="C30" s="0" t="n">
        <v>0</v>
      </c>
      <c r="D30" s="0" t="n">
        <v>3.5</v>
      </c>
      <c r="E30" s="0" t="n">
        <v>0</v>
      </c>
      <c r="F30" s="0" t="n">
        <v>0</v>
      </c>
      <c r="G30" s="0" t="n">
        <v>3.3</v>
      </c>
      <c r="H30" s="0" t="n">
        <v>-0.2</v>
      </c>
      <c r="I30" s="0" t="n">
        <v>0</v>
      </c>
      <c r="J30" s="0" t="n">
        <v>0</v>
      </c>
      <c r="K30" s="0" t="n">
        <v>-35.3632621</v>
      </c>
      <c r="L30" s="0" t="n">
        <v>149.1652375</v>
      </c>
      <c r="M30" s="0" t="n">
        <v>0</v>
      </c>
      <c r="N30" s="3" t="n">
        <f aca="false">(A30-$A$2)*86400</f>
        <v>33.453999669</v>
      </c>
      <c r="O30" s="3" t="n">
        <f aca="false">D30*0.3048</f>
        <v>1.0668</v>
      </c>
      <c r="P30" s="3" t="n">
        <f aca="false">E30*0.44704</f>
        <v>0</v>
      </c>
      <c r="Q30" s="3" t="n">
        <f aca="false">F30*0.44704</f>
        <v>0</v>
      </c>
    </row>
    <row r="31" customFormat="false" ht="15" hidden="false" customHeight="false" outlineLevel="0" collapsed="false">
      <c r="A31" s="8" t="n">
        <v>46315.8917634954</v>
      </c>
      <c r="B31" s="3" t="s">
        <v>83</v>
      </c>
      <c r="C31" s="0" t="n">
        <v>0</v>
      </c>
      <c r="D31" s="0" t="n">
        <v>4.8</v>
      </c>
      <c r="E31" s="0" t="n">
        <v>0</v>
      </c>
      <c r="F31" s="0" t="n">
        <v>0</v>
      </c>
      <c r="G31" s="0" t="n">
        <v>3.8</v>
      </c>
      <c r="H31" s="0" t="n">
        <v>-0.1</v>
      </c>
      <c r="I31" s="0" t="n">
        <v>0</v>
      </c>
      <c r="J31" s="0" t="n">
        <v>0</v>
      </c>
      <c r="K31" s="0" t="n">
        <v>-35.3632621</v>
      </c>
      <c r="L31" s="0" t="n">
        <v>149.1652375</v>
      </c>
      <c r="M31" s="0" t="n">
        <v>0</v>
      </c>
      <c r="N31" s="3" t="n">
        <f aca="false">(A31-$A$2)*86400</f>
        <v>34.463999723</v>
      </c>
      <c r="O31" s="3" t="n">
        <f aca="false">D31*0.3048</f>
        <v>1.46304</v>
      </c>
      <c r="P31" s="3" t="n">
        <f aca="false">E31*0.44704</f>
        <v>0</v>
      </c>
      <c r="Q31" s="3" t="n">
        <f aca="false">F31*0.44704</f>
        <v>0</v>
      </c>
    </row>
    <row r="32" customFormat="false" ht="15" hidden="false" customHeight="false" outlineLevel="0" collapsed="false">
      <c r="A32" s="8" t="n">
        <v>46315.8917765741</v>
      </c>
      <c r="B32" s="3" t="s">
        <v>84</v>
      </c>
      <c r="C32" s="0" t="n">
        <v>0</v>
      </c>
      <c r="D32" s="0" t="n">
        <v>6.2</v>
      </c>
      <c r="E32" s="0" t="n">
        <v>0</v>
      </c>
      <c r="F32" s="0" t="n">
        <v>0</v>
      </c>
      <c r="G32" s="0" t="n">
        <v>3.7</v>
      </c>
      <c r="H32" s="0" t="n">
        <v>-0.1</v>
      </c>
      <c r="I32" s="0" t="n">
        <v>0</v>
      </c>
      <c r="J32" s="0" t="n">
        <v>0</v>
      </c>
      <c r="K32" s="0" t="n">
        <v>-35.3632621</v>
      </c>
      <c r="L32" s="0" t="n">
        <v>149.1652375</v>
      </c>
      <c r="M32" s="0" t="n">
        <v>0</v>
      </c>
      <c r="N32" s="3" t="n">
        <f aca="false">(A32-$A$2)*86400</f>
        <v>35.594000131</v>
      </c>
      <c r="O32" s="3" t="n">
        <f aca="false">D32*0.3048</f>
        <v>1.88976</v>
      </c>
      <c r="P32" s="3" t="n">
        <f aca="false">E32*0.44704</f>
        <v>0</v>
      </c>
      <c r="Q32" s="3" t="n">
        <f aca="false">F32*0.44704</f>
        <v>0</v>
      </c>
    </row>
    <row r="33" customFormat="false" ht="15" hidden="false" customHeight="false" outlineLevel="0" collapsed="false">
      <c r="A33" s="8" t="n">
        <v>46315.891786632</v>
      </c>
      <c r="B33" s="3" t="s">
        <v>85</v>
      </c>
      <c r="C33" s="0" t="n">
        <v>0</v>
      </c>
      <c r="D33" s="0" t="n">
        <v>6.2</v>
      </c>
      <c r="E33" s="0" t="n">
        <v>0</v>
      </c>
      <c r="F33" s="0" t="n">
        <v>0</v>
      </c>
      <c r="G33" s="0" t="n">
        <v>3.7</v>
      </c>
      <c r="H33" s="0" t="n">
        <v>-0.1</v>
      </c>
      <c r="I33" s="0" t="n">
        <v>0</v>
      </c>
      <c r="J33" s="0" t="n">
        <v>0</v>
      </c>
      <c r="K33" s="0" t="n">
        <v>-35.3632621</v>
      </c>
      <c r="L33" s="0" t="n">
        <v>149.1652375</v>
      </c>
      <c r="M33" s="0" t="n">
        <v>0</v>
      </c>
      <c r="N33" s="3" t="n">
        <f aca="false">(A33-$A$2)*86400</f>
        <v>36.463000648</v>
      </c>
      <c r="O33" s="3" t="n">
        <f aca="false">D33*0.3048</f>
        <v>1.88976</v>
      </c>
      <c r="P33" s="3" t="n">
        <f aca="false">E33*0.44704</f>
        <v>0</v>
      </c>
      <c r="Q33" s="3" t="n">
        <f aca="false">F33*0.44704</f>
        <v>0</v>
      </c>
    </row>
    <row r="34" customFormat="false" ht="15" hidden="false" customHeight="false" outlineLevel="0" collapsed="false">
      <c r="A34" s="8" t="n">
        <v>46315.8917984838</v>
      </c>
      <c r="B34" s="3" t="s">
        <v>86</v>
      </c>
      <c r="C34" s="0" t="n">
        <v>0</v>
      </c>
      <c r="D34" s="0" t="n">
        <v>7.4</v>
      </c>
      <c r="E34" s="0" t="n">
        <v>0</v>
      </c>
      <c r="F34" s="0" t="n">
        <v>0</v>
      </c>
      <c r="G34" s="0" t="n">
        <v>3.1</v>
      </c>
      <c r="H34" s="0" t="n">
        <v>-0.1</v>
      </c>
      <c r="I34" s="0" t="n">
        <v>0</v>
      </c>
      <c r="J34" s="0" t="n">
        <v>0</v>
      </c>
      <c r="K34" s="0" t="n">
        <v>-35.3632621</v>
      </c>
      <c r="L34" s="0" t="n">
        <v>149.1652375</v>
      </c>
      <c r="M34" s="0" t="n">
        <v>0</v>
      </c>
      <c r="N34" s="3" t="n">
        <f aca="false">(A34-$A$2)*86400</f>
        <v>37.486999947</v>
      </c>
      <c r="O34" s="3" t="n">
        <f aca="false">D34*0.3048</f>
        <v>2.25552</v>
      </c>
      <c r="P34" s="3" t="n">
        <f aca="false">E34*0.44704</f>
        <v>0</v>
      </c>
      <c r="Q34" s="3" t="n">
        <f aca="false">F34*0.44704</f>
        <v>0</v>
      </c>
    </row>
    <row r="35" customFormat="false" ht="15" hidden="false" customHeight="false" outlineLevel="0" collapsed="false">
      <c r="A35" s="8" t="n">
        <v>46315.8918100694</v>
      </c>
      <c r="B35" s="3" t="s">
        <v>87</v>
      </c>
      <c r="C35" s="0" t="n">
        <v>0</v>
      </c>
      <c r="D35" s="0" t="n">
        <v>8.5</v>
      </c>
      <c r="E35" s="0" t="n">
        <v>0</v>
      </c>
      <c r="F35" s="0" t="n">
        <v>0</v>
      </c>
      <c r="G35" s="0" t="n">
        <v>2.5</v>
      </c>
      <c r="H35" s="0" t="n">
        <v>-0.1</v>
      </c>
      <c r="I35" s="0" t="n">
        <v>0</v>
      </c>
      <c r="J35" s="0" t="n">
        <v>0</v>
      </c>
      <c r="K35" s="0" t="n">
        <v>-35.3632621</v>
      </c>
      <c r="L35" s="0" t="n">
        <v>149.1652375</v>
      </c>
      <c r="M35" s="0" t="n">
        <v>0</v>
      </c>
      <c r="N35" s="3" t="n">
        <f aca="false">(A35-$A$2)*86400</f>
        <v>38.487999723</v>
      </c>
      <c r="O35" s="3" t="n">
        <f aca="false">D35*0.3048</f>
        <v>2.5908</v>
      </c>
      <c r="P35" s="3" t="n">
        <f aca="false">E35*0.44704</f>
        <v>0</v>
      </c>
      <c r="Q35" s="3" t="n">
        <f aca="false">F35*0.44704</f>
        <v>0</v>
      </c>
    </row>
    <row r="36" customFormat="false" ht="15" hidden="false" customHeight="false" outlineLevel="0" collapsed="false">
      <c r="A36" s="8" t="n">
        <v>46315.8918214931</v>
      </c>
      <c r="B36" s="3" t="s">
        <v>88</v>
      </c>
      <c r="C36" s="0" t="n">
        <v>0</v>
      </c>
      <c r="D36" s="0" t="n">
        <v>9.3</v>
      </c>
      <c r="E36" s="0" t="n">
        <v>0</v>
      </c>
      <c r="F36" s="0" t="n">
        <v>0</v>
      </c>
      <c r="G36" s="0" t="n">
        <v>1.8</v>
      </c>
      <c r="H36" s="0" t="n">
        <v>0</v>
      </c>
      <c r="I36" s="0" t="n">
        <v>0</v>
      </c>
      <c r="J36" s="0" t="n">
        <v>0</v>
      </c>
      <c r="K36" s="0" t="n">
        <v>-35.3632621</v>
      </c>
      <c r="L36" s="0" t="n">
        <v>149.1652374</v>
      </c>
      <c r="M36" s="0" t="n">
        <v>0</v>
      </c>
      <c r="N36" s="3" t="n">
        <f aca="false">(A36-$A$2)*86400</f>
        <v>39.474999625</v>
      </c>
      <c r="O36" s="3" t="n">
        <f aca="false">D36*0.3048</f>
        <v>2.83464</v>
      </c>
      <c r="P36" s="3" t="n">
        <f aca="false">E36*0.44704</f>
        <v>0</v>
      </c>
      <c r="Q36" s="3" t="n">
        <f aca="false">F36*0.44704</f>
        <v>0</v>
      </c>
    </row>
    <row r="37" customFormat="false" ht="15" hidden="false" customHeight="false" outlineLevel="0" collapsed="false">
      <c r="A37" s="8" t="n">
        <v>46315.8918333218</v>
      </c>
      <c r="B37" s="3" t="s">
        <v>89</v>
      </c>
      <c r="C37" s="0" t="n">
        <v>0</v>
      </c>
      <c r="D37" s="0" t="n">
        <v>9.8</v>
      </c>
      <c r="E37" s="0" t="n">
        <v>0</v>
      </c>
      <c r="F37" s="0" t="n">
        <v>0</v>
      </c>
      <c r="G37" s="0" t="n">
        <v>1.2</v>
      </c>
      <c r="H37" s="0" t="n">
        <v>0.1</v>
      </c>
      <c r="I37" s="0" t="n">
        <v>0</v>
      </c>
      <c r="J37" s="0" t="n">
        <v>0</v>
      </c>
      <c r="K37" s="0" t="n">
        <v>-35.3632621</v>
      </c>
      <c r="L37" s="0" t="n">
        <v>149.1652374</v>
      </c>
      <c r="M37" s="0" t="n">
        <v>0</v>
      </c>
      <c r="N37" s="3" t="n">
        <f aca="false">(A37-$A$2)*86400</f>
        <v>40.49699984</v>
      </c>
      <c r="O37" s="3" t="n">
        <f aca="false">D37*0.3048</f>
        <v>2.98704</v>
      </c>
      <c r="P37" s="3" t="n">
        <f aca="false">E37*0.44704</f>
        <v>0</v>
      </c>
      <c r="Q37" s="3" t="n">
        <f aca="false">F37*0.44704</f>
        <v>0</v>
      </c>
    </row>
    <row r="38" customFormat="false" ht="15" hidden="false" customHeight="false" outlineLevel="0" collapsed="false">
      <c r="A38" s="8" t="n">
        <v>46315.8918443403</v>
      </c>
      <c r="B38" s="3" t="s">
        <v>90</v>
      </c>
      <c r="C38" s="0" t="n">
        <v>0</v>
      </c>
      <c r="D38" s="0" t="n">
        <v>9.8</v>
      </c>
      <c r="E38" s="0" t="n">
        <v>0</v>
      </c>
      <c r="F38" s="0" t="n">
        <v>0</v>
      </c>
      <c r="G38" s="0" t="n">
        <v>1.2</v>
      </c>
      <c r="H38" s="0" t="n">
        <v>0.1</v>
      </c>
      <c r="I38" s="0" t="n">
        <v>0</v>
      </c>
      <c r="J38" s="0" t="n">
        <v>0</v>
      </c>
      <c r="K38" s="0" t="n">
        <v>-35.3632621</v>
      </c>
      <c r="L38" s="0" t="n">
        <v>149.1652374</v>
      </c>
      <c r="M38" s="0" t="n">
        <v>0</v>
      </c>
      <c r="N38" s="3" t="n">
        <f aca="false">(A38-$A$2)*86400</f>
        <v>41.449000057</v>
      </c>
      <c r="O38" s="3" t="n">
        <f aca="false">D38*0.3048</f>
        <v>2.98704</v>
      </c>
      <c r="P38" s="3" t="n">
        <f aca="false">E38*0.44704</f>
        <v>0</v>
      </c>
      <c r="Q38" s="3" t="n">
        <f aca="false">F38*0.44704</f>
        <v>0</v>
      </c>
    </row>
    <row r="39" customFormat="false" ht="15" hidden="false" customHeight="false" outlineLevel="0" collapsed="false">
      <c r="A39" s="8" t="n">
        <v>46315.8918561227</v>
      </c>
      <c r="B39" s="3" t="s">
        <v>91</v>
      </c>
      <c r="C39" s="0" t="n">
        <v>0</v>
      </c>
      <c r="D39" s="0" t="n">
        <v>10.1</v>
      </c>
      <c r="E39" s="0" t="n">
        <v>0</v>
      </c>
      <c r="F39" s="0" t="n">
        <v>0</v>
      </c>
      <c r="G39" s="0" t="n">
        <v>0.5</v>
      </c>
      <c r="H39" s="0" t="n">
        <v>0.1</v>
      </c>
      <c r="I39" s="0" t="n">
        <v>0</v>
      </c>
      <c r="J39" s="0" t="n">
        <v>0</v>
      </c>
      <c r="K39" s="0" t="n">
        <v>-35.3632621</v>
      </c>
      <c r="L39" s="0" t="n">
        <v>149.1652373</v>
      </c>
      <c r="M39" s="0" t="n">
        <v>0</v>
      </c>
      <c r="N39" s="3" t="n">
        <f aca="false">(A39-$A$2)*86400</f>
        <v>42.46699959</v>
      </c>
      <c r="O39" s="3" t="n">
        <f aca="false">D39*0.3048</f>
        <v>3.07848</v>
      </c>
      <c r="P39" s="3" t="n">
        <f aca="false">E39*0.44704</f>
        <v>0</v>
      </c>
      <c r="Q39" s="3" t="n">
        <f aca="false">F39*0.44704</f>
        <v>0</v>
      </c>
    </row>
    <row r="40" customFormat="false" ht="15" hidden="false" customHeight="false" outlineLevel="0" collapsed="false">
      <c r="A40" s="8" t="n">
        <v>46315.8918678241</v>
      </c>
      <c r="B40" s="3" t="s">
        <v>92</v>
      </c>
      <c r="C40" s="0" t="n">
        <v>0</v>
      </c>
      <c r="D40" s="0" t="n">
        <v>10.2</v>
      </c>
      <c r="E40" s="0" t="n">
        <v>0</v>
      </c>
      <c r="F40" s="0" t="n">
        <v>0</v>
      </c>
      <c r="G40" s="0" t="n">
        <v>0</v>
      </c>
      <c r="H40" s="0" t="n">
        <v>0.2</v>
      </c>
      <c r="I40" s="0" t="n">
        <v>0</v>
      </c>
      <c r="J40" s="0" t="n">
        <v>0</v>
      </c>
      <c r="K40" s="0" t="n">
        <v>-35.3632621</v>
      </c>
      <c r="L40" s="0" t="n">
        <v>149.1652373</v>
      </c>
      <c r="M40" s="0" t="n">
        <v>0</v>
      </c>
      <c r="N40" s="3" t="n">
        <f aca="false">(A40-$A$2)*86400</f>
        <v>43.477999814</v>
      </c>
      <c r="O40" s="3" t="n">
        <f aca="false">D40*0.3048</f>
        <v>3.10896</v>
      </c>
      <c r="P40" s="3" t="n">
        <f aca="false">E40*0.44704</f>
        <v>0</v>
      </c>
      <c r="Q40" s="3" t="n">
        <f aca="false">F40*0.44704</f>
        <v>0</v>
      </c>
    </row>
    <row r="41" customFormat="false" ht="15" hidden="false" customHeight="false" outlineLevel="0" collapsed="false">
      <c r="A41" s="8" t="n">
        <v>46315.8918790625</v>
      </c>
      <c r="B41" s="3" t="s">
        <v>93</v>
      </c>
      <c r="C41" s="0" t="n">
        <v>0</v>
      </c>
      <c r="D41" s="0" t="n">
        <v>10.2</v>
      </c>
      <c r="E41" s="0" t="n">
        <v>0</v>
      </c>
      <c r="F41" s="0" t="n">
        <v>0</v>
      </c>
      <c r="G41" s="0" t="n">
        <v>-0.2</v>
      </c>
      <c r="H41" s="0" t="n">
        <v>0.1</v>
      </c>
      <c r="I41" s="0" t="n">
        <v>0</v>
      </c>
      <c r="J41" s="0" t="n">
        <v>0</v>
      </c>
      <c r="K41" s="0" t="n">
        <v>-35.3632621</v>
      </c>
      <c r="L41" s="0" t="n">
        <v>149.1652373</v>
      </c>
      <c r="M41" s="0" t="n">
        <v>0</v>
      </c>
      <c r="N41" s="3" t="n">
        <f aca="false">(A41-$A$2)*86400</f>
        <v>44.44900013</v>
      </c>
      <c r="O41" s="3" t="n">
        <f aca="false">D41*0.3048</f>
        <v>3.10896</v>
      </c>
      <c r="P41" s="3" t="n">
        <f aca="false">E41*0.44704</f>
        <v>0</v>
      </c>
      <c r="Q41" s="3" t="n">
        <f aca="false">F41*0.44704</f>
        <v>0</v>
      </c>
    </row>
    <row r="42" customFormat="false" ht="15" hidden="false" customHeight="false" outlineLevel="0" collapsed="false">
      <c r="A42" s="8" t="n">
        <v>46315.8918906713</v>
      </c>
      <c r="B42" s="3" t="s">
        <v>94</v>
      </c>
      <c r="C42" s="0" t="n">
        <v>0</v>
      </c>
      <c r="D42" s="0" t="n">
        <v>10.1</v>
      </c>
      <c r="E42" s="0" t="n">
        <v>0</v>
      </c>
      <c r="F42" s="0" t="n">
        <v>0</v>
      </c>
      <c r="G42" s="0" t="n">
        <v>-0.2</v>
      </c>
      <c r="H42" s="0" t="n">
        <v>0.1</v>
      </c>
      <c r="I42" s="0" t="n">
        <v>0</v>
      </c>
      <c r="J42" s="0" t="n">
        <v>0</v>
      </c>
      <c r="K42" s="0" t="n">
        <v>-35.3632621</v>
      </c>
      <c r="L42" s="0" t="n">
        <v>149.1652373</v>
      </c>
      <c r="M42" s="0" t="n">
        <v>0</v>
      </c>
      <c r="N42" s="3" t="n">
        <f aca="false">(A42-$A$2)*86400</f>
        <v>45.451999618</v>
      </c>
      <c r="O42" s="3" t="n">
        <f aca="false">D42*0.3048</f>
        <v>3.07848</v>
      </c>
      <c r="P42" s="3" t="n">
        <f aca="false">E42*0.44704</f>
        <v>0</v>
      </c>
      <c r="Q42" s="3" t="n">
        <f aca="false">F42*0.44704</f>
        <v>0</v>
      </c>
    </row>
    <row r="43" customFormat="false" ht="15" hidden="false" customHeight="false" outlineLevel="0" collapsed="false">
      <c r="A43" s="8" t="n">
        <v>46315.8919023727</v>
      </c>
      <c r="B43" s="3" t="s">
        <v>95</v>
      </c>
      <c r="C43" s="0" t="n">
        <v>0</v>
      </c>
      <c r="D43" s="0" t="n">
        <v>10</v>
      </c>
      <c r="E43" s="0" t="n">
        <v>0</v>
      </c>
      <c r="F43" s="0" t="n">
        <v>0</v>
      </c>
      <c r="G43" s="0" t="n">
        <v>-0.2</v>
      </c>
      <c r="H43" s="0" t="n">
        <v>0.1</v>
      </c>
      <c r="I43" s="0" t="n">
        <v>0</v>
      </c>
      <c r="J43" s="0" t="n">
        <v>0</v>
      </c>
      <c r="K43" s="0" t="n">
        <v>-35.3632621</v>
      </c>
      <c r="L43" s="0" t="n">
        <v>149.1652373</v>
      </c>
      <c r="M43" s="0" t="n">
        <v>0</v>
      </c>
      <c r="N43" s="3" t="n">
        <f aca="false">(A43-$A$2)*86400</f>
        <v>46.462999214</v>
      </c>
      <c r="O43" s="3" t="n">
        <f aca="false">D43*0.3048</f>
        <v>3.048</v>
      </c>
      <c r="P43" s="3" t="n">
        <f aca="false">E43*0.44704</f>
        <v>0</v>
      </c>
      <c r="Q43" s="3" t="n">
        <f aca="false">F43*0.44704</f>
        <v>0</v>
      </c>
    </row>
    <row r="44" customFormat="false" ht="15" hidden="false" customHeight="false" outlineLevel="0" collapsed="false">
      <c r="A44" s="8" t="n">
        <v>46315.8919141435</v>
      </c>
      <c r="B44" s="3" t="s">
        <v>96</v>
      </c>
      <c r="C44" s="0" t="n">
        <v>0</v>
      </c>
      <c r="D44" s="0" t="n">
        <v>10</v>
      </c>
      <c r="E44" s="0" t="n">
        <v>0</v>
      </c>
      <c r="F44" s="0" t="n">
        <v>0</v>
      </c>
      <c r="G44" s="0" t="n">
        <v>-0.2</v>
      </c>
      <c r="H44" s="0" t="n">
        <v>0.1</v>
      </c>
      <c r="I44" s="0" t="n">
        <v>0</v>
      </c>
      <c r="J44" s="0" t="n">
        <v>0</v>
      </c>
      <c r="K44" s="0" t="n">
        <v>-35.3632621</v>
      </c>
      <c r="L44" s="0" t="n">
        <v>149.1652373</v>
      </c>
      <c r="M44" s="0" t="n">
        <v>0</v>
      </c>
      <c r="N44" s="3" t="n">
        <f aca="false">(A44-$A$2)*86400</f>
        <v>47.479999833</v>
      </c>
      <c r="O44" s="3" t="n">
        <f aca="false">D44*0.3048</f>
        <v>3.048</v>
      </c>
      <c r="P44" s="3" t="n">
        <f aca="false">E44*0.44704</f>
        <v>0</v>
      </c>
      <c r="Q44" s="3" t="n">
        <f aca="false">F44*0.44704</f>
        <v>0</v>
      </c>
    </row>
    <row r="45" customFormat="false" ht="15" hidden="false" customHeight="false" outlineLevel="0" collapsed="false">
      <c r="A45" s="8" t="n">
        <v>46315.8919258681</v>
      </c>
      <c r="B45" s="3" t="s">
        <v>97</v>
      </c>
      <c r="C45" s="0" t="n">
        <v>0</v>
      </c>
      <c r="D45" s="0" t="n">
        <v>10</v>
      </c>
      <c r="E45" s="0" t="n">
        <v>0</v>
      </c>
      <c r="F45" s="0" t="n">
        <v>0</v>
      </c>
      <c r="G45" s="0" t="n">
        <v>-0.1</v>
      </c>
      <c r="H45" s="0" t="n">
        <v>0</v>
      </c>
      <c r="I45" s="0" t="n">
        <v>0</v>
      </c>
      <c r="J45" s="0" t="n">
        <v>0</v>
      </c>
      <c r="K45" s="0" t="n">
        <v>-35.3632621</v>
      </c>
      <c r="L45" s="0" t="n">
        <v>149.1652373</v>
      </c>
      <c r="M45" s="0" t="n">
        <v>0</v>
      </c>
      <c r="N45" s="3" t="n">
        <f aca="false">(A45-$A$2)*86400</f>
        <v>48.492999142</v>
      </c>
      <c r="O45" s="3" t="n">
        <f aca="false">D45*0.3048</f>
        <v>3.048</v>
      </c>
      <c r="P45" s="3" t="n">
        <f aca="false">E45*0.44704</f>
        <v>0</v>
      </c>
      <c r="Q45" s="3" t="n">
        <f aca="false">F45*0.44704</f>
        <v>0</v>
      </c>
    </row>
    <row r="46" customFormat="false" ht="15" hidden="false" customHeight="false" outlineLevel="0" collapsed="false">
      <c r="A46" s="8" t="n">
        <v>46315.8919371412</v>
      </c>
      <c r="B46" s="3" t="s">
        <v>98</v>
      </c>
      <c r="C46" s="0" t="n">
        <v>0</v>
      </c>
      <c r="D46" s="0" t="n">
        <v>9.9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-35.3632621</v>
      </c>
      <c r="L46" s="0" t="n">
        <v>149.1652373</v>
      </c>
      <c r="M46" s="0" t="n">
        <v>0</v>
      </c>
      <c r="N46" s="3" t="n">
        <f aca="false">(A46-$A$2)*86400</f>
        <v>49.46699934</v>
      </c>
      <c r="O46" s="3" t="n">
        <f aca="false">D46*0.3048</f>
        <v>3.01752</v>
      </c>
      <c r="P46" s="3" t="n">
        <f aca="false">E46*0.44704</f>
        <v>0</v>
      </c>
      <c r="Q46" s="3" t="n">
        <f aca="false">F46*0.44704</f>
        <v>0</v>
      </c>
    </row>
    <row r="47" customFormat="false" ht="15" hidden="false" customHeight="false" outlineLevel="0" collapsed="false">
      <c r="A47" s="8" t="n">
        <v>46315.8919494329</v>
      </c>
      <c r="B47" s="3" t="s">
        <v>99</v>
      </c>
      <c r="C47" s="0" t="n">
        <v>0</v>
      </c>
      <c r="D47" s="0" t="n">
        <v>9.9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-35.3632621</v>
      </c>
      <c r="L47" s="0" t="n">
        <v>149.1652373</v>
      </c>
      <c r="M47" s="0" t="n">
        <v>0</v>
      </c>
      <c r="N47" s="3" t="n">
        <f aca="false">(A47-$A$2)*86400</f>
        <v>50.529000093</v>
      </c>
      <c r="O47" s="3" t="n">
        <f aca="false">D47*0.3048</f>
        <v>3.01752</v>
      </c>
      <c r="P47" s="3" t="n">
        <f aca="false">E47*0.44704</f>
        <v>0</v>
      </c>
      <c r="Q47" s="3" t="n">
        <f aca="false">F47*0.44704</f>
        <v>0</v>
      </c>
    </row>
    <row r="48" customFormat="false" ht="15" hidden="false" customHeight="false" outlineLevel="0" collapsed="false">
      <c r="A48" s="8" t="n">
        <v>46315.891960463</v>
      </c>
      <c r="B48" s="3" t="s">
        <v>100</v>
      </c>
      <c r="C48" s="0" t="n">
        <v>0</v>
      </c>
      <c r="D48" s="0" t="n">
        <v>9.9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-35.3632621</v>
      </c>
      <c r="L48" s="0" t="n">
        <v>149.1652373</v>
      </c>
      <c r="M48" s="0" t="n">
        <v>0</v>
      </c>
      <c r="N48" s="3" t="n">
        <f aca="false">(A48-$A$2)*86400</f>
        <v>51.481999852</v>
      </c>
      <c r="O48" s="3" t="n">
        <f aca="false">D48*0.3048</f>
        <v>3.01752</v>
      </c>
      <c r="P48" s="3" t="n">
        <f aca="false">E48*0.44704</f>
        <v>0</v>
      </c>
      <c r="Q48" s="3" t="n">
        <f aca="false">F48*0.44704</f>
        <v>0</v>
      </c>
    </row>
    <row r="49" customFormat="false" ht="15" hidden="false" customHeight="false" outlineLevel="0" collapsed="false">
      <c r="A49" s="8" t="n">
        <v>46315.8919724769</v>
      </c>
      <c r="B49" s="3" t="s">
        <v>101</v>
      </c>
      <c r="C49" s="0" t="n">
        <v>0</v>
      </c>
      <c r="D49" s="0" t="n">
        <v>9.9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-35.3632621</v>
      </c>
      <c r="L49" s="0" t="n">
        <v>149.1652373</v>
      </c>
      <c r="M49" s="0" t="n">
        <v>0</v>
      </c>
      <c r="N49" s="3" t="n">
        <f aca="false">(A49-$A$2)*86400</f>
        <v>52.519999654</v>
      </c>
      <c r="O49" s="3" t="n">
        <f aca="false">D49*0.3048</f>
        <v>3.01752</v>
      </c>
      <c r="P49" s="3" t="n">
        <f aca="false">E49*0.44704</f>
        <v>0</v>
      </c>
      <c r="Q49" s="3" t="n">
        <f aca="false">F49*0.44704</f>
        <v>0</v>
      </c>
    </row>
    <row r="50" customFormat="false" ht="15" hidden="false" customHeight="false" outlineLevel="0" collapsed="false">
      <c r="A50" s="8" t="n">
        <v>46315.8919836806</v>
      </c>
      <c r="B50" s="3" t="s">
        <v>102</v>
      </c>
      <c r="C50" s="0" t="n">
        <v>0</v>
      </c>
      <c r="D50" s="0" t="n">
        <v>9.9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-35.3632621</v>
      </c>
      <c r="L50" s="0" t="n">
        <v>149.1652373</v>
      </c>
      <c r="M50" s="0" t="n">
        <v>0</v>
      </c>
      <c r="N50" s="3" t="n">
        <f aca="false">(A50-$A$2)*86400</f>
        <v>53.488000086</v>
      </c>
      <c r="O50" s="3" t="n">
        <f aca="false">D50*0.3048</f>
        <v>3.01752</v>
      </c>
      <c r="P50" s="3" t="n">
        <f aca="false">E50*0.44704</f>
        <v>0</v>
      </c>
      <c r="Q50" s="3" t="n">
        <f aca="false">F50*0.44704</f>
        <v>0</v>
      </c>
    </row>
    <row r="51" customFormat="false" ht="15" hidden="false" customHeight="false" outlineLevel="0" collapsed="false">
      <c r="A51" s="8" t="n">
        <v>46315.8919949074</v>
      </c>
      <c r="B51" s="3" t="s">
        <v>103</v>
      </c>
      <c r="C51" s="0" t="n">
        <v>0</v>
      </c>
      <c r="D51" s="0" t="n">
        <v>10</v>
      </c>
      <c r="E51" s="0" t="n">
        <v>0</v>
      </c>
      <c r="F51" s="0" t="n">
        <v>0</v>
      </c>
      <c r="G51" s="0" t="n">
        <v>0</v>
      </c>
      <c r="H51" s="0" t="n">
        <v>-0.1</v>
      </c>
      <c r="I51" s="0" t="n">
        <v>0</v>
      </c>
      <c r="J51" s="0" t="n">
        <v>0</v>
      </c>
      <c r="K51" s="0" t="n">
        <v>-35.3632621</v>
      </c>
      <c r="L51" s="0" t="n">
        <v>149.1652373</v>
      </c>
      <c r="M51" s="0" t="n">
        <v>0</v>
      </c>
      <c r="N51" s="3" t="n">
        <f aca="false">(A51-$A$2)*86400</f>
        <v>54.457998974</v>
      </c>
      <c r="O51" s="3" t="n">
        <f aca="false">D51*0.3048</f>
        <v>3.048</v>
      </c>
      <c r="P51" s="3" t="n">
        <f aca="false">E51*0.44704</f>
        <v>0</v>
      </c>
      <c r="Q51" s="3" t="n">
        <f aca="false">F51*0.44704</f>
        <v>0</v>
      </c>
    </row>
    <row r="52" customFormat="false" ht="15" hidden="false" customHeight="false" outlineLevel="0" collapsed="false">
      <c r="A52" s="8" t="n">
        <v>46315.8920071759</v>
      </c>
      <c r="B52" s="3" t="s">
        <v>104</v>
      </c>
      <c r="C52" s="0" t="n">
        <v>0</v>
      </c>
      <c r="D52" s="0" t="n">
        <v>10</v>
      </c>
      <c r="E52" s="0" t="n">
        <v>0</v>
      </c>
      <c r="F52" s="0" t="n">
        <v>0</v>
      </c>
      <c r="G52" s="0" t="n">
        <v>0</v>
      </c>
      <c r="H52" s="0" t="n">
        <v>-0.1</v>
      </c>
      <c r="I52" s="0" t="n">
        <v>0</v>
      </c>
      <c r="J52" s="0" t="n">
        <v>0</v>
      </c>
      <c r="K52" s="0" t="n">
        <v>-35.3632621</v>
      </c>
      <c r="L52" s="0" t="n">
        <v>149.1652373</v>
      </c>
      <c r="M52" s="0" t="n">
        <v>0</v>
      </c>
      <c r="N52" s="3" t="n">
        <f aca="false">(A52-$A$2)*86400</f>
        <v>55.518000014</v>
      </c>
      <c r="O52" s="3" t="n">
        <f aca="false">D52*0.3048</f>
        <v>3.048</v>
      </c>
      <c r="P52" s="3" t="n">
        <f aca="false">E52*0.44704</f>
        <v>0</v>
      </c>
      <c r="Q52" s="3" t="n">
        <f aca="false">F52*0.44704</f>
        <v>0</v>
      </c>
    </row>
    <row r="53" customFormat="false" ht="15" hidden="false" customHeight="false" outlineLevel="0" collapsed="false">
      <c r="A53" s="8" t="n">
        <v>46315.8920190625</v>
      </c>
      <c r="B53" s="3" t="s">
        <v>105</v>
      </c>
      <c r="C53" s="0" t="n">
        <v>0</v>
      </c>
      <c r="D53" s="0" t="n">
        <v>10</v>
      </c>
      <c r="E53" s="0" t="n">
        <v>0</v>
      </c>
      <c r="F53" s="0" t="n">
        <v>0</v>
      </c>
      <c r="G53" s="0" t="n">
        <v>0</v>
      </c>
      <c r="H53" s="0" t="n">
        <v>-0.1</v>
      </c>
      <c r="I53" s="0" t="n">
        <v>0</v>
      </c>
      <c r="J53" s="0" t="n">
        <v>0</v>
      </c>
      <c r="K53" s="0" t="n">
        <v>-35.3632621</v>
      </c>
      <c r="L53" s="0" t="n">
        <v>149.1652374</v>
      </c>
      <c r="M53" s="0" t="n">
        <v>0</v>
      </c>
      <c r="N53" s="3" t="n">
        <f aca="false">(A53-$A$2)*86400</f>
        <v>56.544999824</v>
      </c>
      <c r="O53" s="3" t="n">
        <f aca="false">D53*0.3048</f>
        <v>3.048</v>
      </c>
      <c r="P53" s="3" t="n">
        <f aca="false">E53*0.44704</f>
        <v>0</v>
      </c>
      <c r="Q53" s="3" t="n">
        <f aca="false">F53*0.44704</f>
        <v>0</v>
      </c>
    </row>
    <row r="54" customFormat="false" ht="15" hidden="false" customHeight="false" outlineLevel="0" collapsed="false">
      <c r="A54" s="8" t="n">
        <v>46315.8920298958</v>
      </c>
      <c r="B54" s="3" t="s">
        <v>106</v>
      </c>
      <c r="C54" s="0" t="n">
        <v>0</v>
      </c>
      <c r="D54" s="0" t="n">
        <v>10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-35.3632621</v>
      </c>
      <c r="L54" s="0" t="n">
        <v>149.1652374</v>
      </c>
      <c r="M54" s="0" t="n">
        <v>0</v>
      </c>
      <c r="N54" s="3" t="n">
        <f aca="false">(A54-$A$2)*86400</f>
        <v>57.480999827</v>
      </c>
      <c r="O54" s="3" t="n">
        <f aca="false">D54*0.3048</f>
        <v>3.048</v>
      </c>
      <c r="P54" s="3" t="n">
        <f aca="false">E54*0.44704</f>
        <v>0</v>
      </c>
      <c r="Q54" s="3" t="n">
        <f aca="false">F54*0.44704</f>
        <v>0</v>
      </c>
    </row>
    <row r="55" customFormat="false" ht="15" hidden="false" customHeight="false" outlineLevel="0" collapsed="false">
      <c r="A55" s="8" t="n">
        <v>46315.8920412037</v>
      </c>
      <c r="B55" s="3" t="s">
        <v>107</v>
      </c>
      <c r="C55" s="0" t="n">
        <v>0</v>
      </c>
      <c r="D55" s="0" t="n">
        <v>10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-35.3632621</v>
      </c>
      <c r="L55" s="0" t="n">
        <v>149.1652374</v>
      </c>
      <c r="M55" s="0" t="n">
        <v>0</v>
      </c>
      <c r="N55" s="3" t="n">
        <f aca="false">(A55-$A$2)*86400</f>
        <v>58.45799928</v>
      </c>
      <c r="O55" s="3" t="n">
        <f aca="false">D55*0.3048</f>
        <v>3.048</v>
      </c>
      <c r="P55" s="3" t="n">
        <f aca="false">E55*0.44704</f>
        <v>0</v>
      </c>
      <c r="Q55" s="3" t="n">
        <f aca="false">F55*0.44704</f>
        <v>0</v>
      </c>
    </row>
    <row r="56" customFormat="false" ht="15" hidden="false" customHeight="false" outlineLevel="0" collapsed="false">
      <c r="A56" s="8" t="n">
        <v>46315.892052662</v>
      </c>
      <c r="B56" s="3" t="s">
        <v>108</v>
      </c>
      <c r="C56" s="0" t="n">
        <v>0</v>
      </c>
      <c r="D56" s="0" t="n">
        <v>10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-35.3632621</v>
      </c>
      <c r="L56" s="0" t="n">
        <v>149.1652374</v>
      </c>
      <c r="M56" s="0" t="n">
        <v>0</v>
      </c>
      <c r="N56" s="3" t="n">
        <f aca="false">(A56-$A$2)*86400</f>
        <v>59.447999065</v>
      </c>
      <c r="O56" s="3" t="n">
        <f aca="false">D56*0.3048</f>
        <v>3.048</v>
      </c>
      <c r="P56" s="3" t="n">
        <f aca="false">E56*0.44704</f>
        <v>0</v>
      </c>
      <c r="Q56" s="3" t="n">
        <f aca="false">F56*0.44704</f>
        <v>0</v>
      </c>
    </row>
    <row r="57" customFormat="false" ht="15" hidden="false" customHeight="false" outlineLevel="0" collapsed="false">
      <c r="A57" s="8" t="n">
        <v>46315.892064537</v>
      </c>
      <c r="B57" s="3" t="s">
        <v>109</v>
      </c>
      <c r="C57" s="0" t="n">
        <v>0</v>
      </c>
      <c r="D57" s="0" t="n">
        <v>10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-35.3632621</v>
      </c>
      <c r="L57" s="0" t="n">
        <v>149.1652374</v>
      </c>
      <c r="M57" s="0" t="n">
        <v>0</v>
      </c>
      <c r="N57" s="3" t="n">
        <f aca="false">(A57-$A$2)*86400</f>
        <v>60.473999963</v>
      </c>
      <c r="O57" s="3" t="n">
        <f aca="false">D57*0.3048</f>
        <v>3.048</v>
      </c>
      <c r="P57" s="3" t="n">
        <f aca="false">E57*0.44704</f>
        <v>0</v>
      </c>
      <c r="Q57" s="3" t="n">
        <f aca="false">F57*0.44704</f>
        <v>0</v>
      </c>
    </row>
    <row r="58" customFormat="false" ht="15" hidden="false" customHeight="false" outlineLevel="0" collapsed="false">
      <c r="A58" s="8" t="n">
        <v>46315.8920758333</v>
      </c>
      <c r="B58" s="3" t="s">
        <v>110</v>
      </c>
      <c r="C58" s="0" t="n">
        <v>0</v>
      </c>
      <c r="D58" s="0" t="n">
        <v>10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-35.3632621</v>
      </c>
      <c r="L58" s="0" t="n">
        <v>149.1652374</v>
      </c>
      <c r="M58" s="0" t="n">
        <v>0</v>
      </c>
      <c r="N58" s="3" t="n">
        <f aca="false">(A58-$A$2)*86400</f>
        <v>61.449999874</v>
      </c>
      <c r="O58" s="3" t="n">
        <f aca="false">D58*0.3048</f>
        <v>3.048</v>
      </c>
      <c r="P58" s="3" t="n">
        <f aca="false">E58*0.44704</f>
        <v>0</v>
      </c>
      <c r="Q58" s="3" t="n">
        <f aca="false">F58*0.44704</f>
        <v>0</v>
      </c>
    </row>
    <row r="59" customFormat="false" ht="15" hidden="false" customHeight="false" outlineLevel="0" collapsed="false">
      <c r="A59" s="8" t="n">
        <v>46315.8920873611</v>
      </c>
      <c r="B59" s="3" t="s">
        <v>111</v>
      </c>
      <c r="C59" s="0" t="n">
        <v>0</v>
      </c>
      <c r="D59" s="0" t="n">
        <v>10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-35.3632621</v>
      </c>
      <c r="L59" s="0" t="n">
        <v>149.1652374</v>
      </c>
      <c r="M59" s="0" t="n">
        <v>0</v>
      </c>
      <c r="N59" s="3" t="n">
        <f aca="false">(A59-$A$2)*86400</f>
        <v>62.446000054</v>
      </c>
      <c r="O59" s="3" t="n">
        <f aca="false">D59*0.3048</f>
        <v>3.048</v>
      </c>
      <c r="P59" s="3" t="n">
        <f aca="false">E59*0.44704</f>
        <v>0</v>
      </c>
      <c r="Q59" s="3" t="n">
        <f aca="false">F59*0.44704</f>
        <v>0</v>
      </c>
    </row>
    <row r="60" customFormat="false" ht="15" hidden="false" customHeight="false" outlineLevel="0" collapsed="false">
      <c r="A60" s="8" t="n">
        <v>46315.8920989931</v>
      </c>
      <c r="B60" s="3" t="s">
        <v>112</v>
      </c>
      <c r="C60" s="0" t="n">
        <v>0</v>
      </c>
      <c r="D60" s="0" t="n">
        <v>10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-35.3632621</v>
      </c>
      <c r="L60" s="0" t="n">
        <v>149.1652374</v>
      </c>
      <c r="M60" s="0" t="n">
        <v>0</v>
      </c>
      <c r="N60" s="3" t="n">
        <f aca="false">(A60-$A$2)*86400</f>
        <v>63.451000512</v>
      </c>
      <c r="O60" s="3" t="n">
        <f aca="false">D60*0.3048</f>
        <v>3.048</v>
      </c>
      <c r="P60" s="3" t="n">
        <f aca="false">E60*0.44704</f>
        <v>0</v>
      </c>
      <c r="Q60" s="3" t="n">
        <f aca="false">F60*0.44704</f>
        <v>0</v>
      </c>
    </row>
    <row r="61" customFormat="false" ht="15" hidden="false" customHeight="false" outlineLevel="0" collapsed="false">
      <c r="A61" s="8" t="n">
        <v>46315.8921105671</v>
      </c>
      <c r="B61" s="3" t="s">
        <v>113</v>
      </c>
      <c r="C61" s="0" t="n">
        <v>0</v>
      </c>
      <c r="D61" s="0" t="n">
        <v>10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-35.3632621</v>
      </c>
      <c r="L61" s="0" t="n">
        <v>149.1652374</v>
      </c>
      <c r="M61" s="0" t="n">
        <v>0</v>
      </c>
      <c r="N61" s="3" t="n">
        <f aca="false">(A61-$A$2)*86400</f>
        <v>64.451000117</v>
      </c>
      <c r="O61" s="3" t="n">
        <f aca="false">D61*0.3048</f>
        <v>3.048</v>
      </c>
      <c r="P61" s="3" t="n">
        <f aca="false">E61*0.44704</f>
        <v>0</v>
      </c>
      <c r="Q61" s="3" t="n">
        <f aca="false">F61*0.44704</f>
        <v>0</v>
      </c>
    </row>
    <row r="62" customFormat="false" ht="15" hidden="false" customHeight="false" outlineLevel="0" collapsed="false">
      <c r="A62" s="8" t="n">
        <v>46315.8921224421</v>
      </c>
      <c r="B62" s="3" t="s">
        <v>114</v>
      </c>
      <c r="C62" s="0" t="n">
        <v>0</v>
      </c>
      <c r="D62" s="0" t="n">
        <v>10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-35.3632621</v>
      </c>
      <c r="L62" s="0" t="n">
        <v>149.1652374</v>
      </c>
      <c r="M62" s="0" t="n">
        <v>0</v>
      </c>
      <c r="N62" s="3" t="n">
        <f aca="false">(A62-$A$2)*86400</f>
        <v>65.476999757</v>
      </c>
      <c r="O62" s="3" t="n">
        <f aca="false">D62*0.3048</f>
        <v>3.048</v>
      </c>
      <c r="P62" s="3" t="n">
        <f aca="false">E62*0.44704</f>
        <v>0</v>
      </c>
      <c r="Q62" s="3" t="n">
        <f aca="false">F62*0.44704</f>
        <v>0</v>
      </c>
    </row>
    <row r="63" customFormat="false" ht="15" hidden="false" customHeight="false" outlineLevel="0" collapsed="false">
      <c r="A63" s="8" t="n">
        <v>46315.8921338657</v>
      </c>
      <c r="B63" s="3" t="s">
        <v>115</v>
      </c>
      <c r="C63" s="0" t="n">
        <v>0</v>
      </c>
      <c r="D63" s="0" t="n">
        <v>10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-35.3632621</v>
      </c>
      <c r="L63" s="0" t="n">
        <v>149.1652374</v>
      </c>
      <c r="M63" s="0" t="n">
        <v>0</v>
      </c>
      <c r="N63" s="3" t="n">
        <f aca="false">(A63-$A$2)*86400</f>
        <v>66.463999659</v>
      </c>
      <c r="O63" s="3" t="n">
        <f aca="false">D63*0.3048</f>
        <v>3.048</v>
      </c>
      <c r="P63" s="3" t="n">
        <f aca="false">E63*0.44704</f>
        <v>0</v>
      </c>
      <c r="Q63" s="3" t="n">
        <f aca="false">F63*0.44704</f>
        <v>0</v>
      </c>
    </row>
    <row r="64" customFormat="false" ht="15" hidden="false" customHeight="false" outlineLevel="0" collapsed="false">
      <c r="A64" s="8" t="n">
        <v>46315.8921454977</v>
      </c>
      <c r="B64" s="3" t="s">
        <v>116</v>
      </c>
      <c r="C64" s="0" t="n">
        <v>0</v>
      </c>
      <c r="D64" s="0" t="n">
        <v>9.9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-35.3632621</v>
      </c>
      <c r="L64" s="0" t="n">
        <v>149.1652374</v>
      </c>
      <c r="M64" s="0" t="n">
        <v>0</v>
      </c>
      <c r="N64" s="3" t="n">
        <f aca="false">(A64-$A$2)*86400</f>
        <v>67.469000117</v>
      </c>
      <c r="O64" s="3" t="n">
        <f aca="false">D64*0.3048</f>
        <v>3.01752</v>
      </c>
      <c r="P64" s="3" t="n">
        <f aca="false">E64*0.44704</f>
        <v>0</v>
      </c>
      <c r="Q64" s="3" t="n">
        <f aca="false">F64*0.44704</f>
        <v>0</v>
      </c>
    </row>
    <row r="65" customFormat="false" ht="15" hidden="false" customHeight="false" outlineLevel="0" collapsed="false">
      <c r="A65" s="8" t="n">
        <v>46315.8921573495</v>
      </c>
      <c r="B65" s="3" t="s">
        <v>117</v>
      </c>
      <c r="C65" s="0" t="n">
        <v>0</v>
      </c>
      <c r="D65" s="0" t="n">
        <v>9.9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-35.3632621</v>
      </c>
      <c r="L65" s="0" t="n">
        <v>149.1652374</v>
      </c>
      <c r="M65" s="0" t="n">
        <v>0</v>
      </c>
      <c r="N65" s="3" t="n">
        <f aca="false">(A65-$A$2)*86400</f>
        <v>68.493000045</v>
      </c>
      <c r="O65" s="3" t="n">
        <f aca="false">D65*0.3048</f>
        <v>3.01752</v>
      </c>
      <c r="P65" s="3" t="n">
        <f aca="false">E65*0.44704</f>
        <v>0</v>
      </c>
      <c r="Q65" s="3" t="n">
        <f aca="false">F65*0.44704</f>
        <v>0</v>
      </c>
    </row>
    <row r="66" customFormat="false" ht="15" hidden="false" customHeight="false" outlineLevel="0" collapsed="false">
      <c r="A66" s="8" t="n">
        <v>46315.8921686343</v>
      </c>
      <c r="B66" s="3" t="s">
        <v>118</v>
      </c>
      <c r="C66" s="0" t="n">
        <v>0</v>
      </c>
      <c r="D66" s="0" t="n">
        <v>9.9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-35.3632621</v>
      </c>
      <c r="L66" s="0" t="n">
        <v>149.1652374</v>
      </c>
      <c r="M66" s="0" t="n">
        <v>0</v>
      </c>
      <c r="N66" s="3" t="n">
        <f aca="false">(A66-$A$2)*86400</f>
        <v>69.467999786</v>
      </c>
      <c r="O66" s="3" t="n">
        <f aca="false">D66*0.3048</f>
        <v>3.01752</v>
      </c>
      <c r="P66" s="3" t="n">
        <f aca="false">E66*0.44704</f>
        <v>0</v>
      </c>
      <c r="Q66" s="3" t="n">
        <f aca="false">F66*0.44704</f>
        <v>0</v>
      </c>
    </row>
    <row r="67" customFormat="false" ht="15" hidden="false" customHeight="false" outlineLevel="0" collapsed="false">
      <c r="A67" s="8" t="n">
        <v>46315.8921802431</v>
      </c>
      <c r="B67" s="3" t="s">
        <v>119</v>
      </c>
      <c r="C67" s="0" t="n">
        <v>0</v>
      </c>
      <c r="D67" s="0" t="n">
        <v>10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-35.3632621</v>
      </c>
      <c r="L67" s="0" t="n">
        <v>149.1652374</v>
      </c>
      <c r="M67" s="0" t="n">
        <v>0</v>
      </c>
      <c r="N67" s="3" t="n">
        <f aca="false">(A67-$A$2)*86400</f>
        <v>70.471000531</v>
      </c>
      <c r="O67" s="3" t="n">
        <f aca="false">D67*0.3048</f>
        <v>3.048</v>
      </c>
      <c r="P67" s="3" t="n">
        <f aca="false">E67*0.44704</f>
        <v>0</v>
      </c>
      <c r="Q67" s="3" t="n">
        <f aca="false">F67*0.44704</f>
        <v>0</v>
      </c>
    </row>
    <row r="68" customFormat="false" ht="15" hidden="false" customHeight="false" outlineLevel="0" collapsed="false">
      <c r="A68" s="8" t="n">
        <v>46315.8921920602</v>
      </c>
      <c r="B68" s="3" t="s">
        <v>120</v>
      </c>
      <c r="C68" s="0" t="n">
        <v>0</v>
      </c>
      <c r="D68" s="0" t="n">
        <v>9.9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-35.3632621</v>
      </c>
      <c r="L68" s="0" t="n">
        <v>149.1652374</v>
      </c>
      <c r="M68" s="0" t="n">
        <v>0</v>
      </c>
      <c r="N68" s="3" t="n">
        <f aca="false">(A68-$A$2)*86400</f>
        <v>71.492000576</v>
      </c>
      <c r="O68" s="3" t="n">
        <f aca="false">D68*0.3048</f>
        <v>3.01752</v>
      </c>
      <c r="P68" s="3" t="n">
        <f aca="false">E68*0.44704</f>
        <v>0</v>
      </c>
      <c r="Q68" s="3" t="n">
        <f aca="false">F68*0.44704</f>
        <v>0</v>
      </c>
    </row>
    <row r="69" customFormat="false" ht="15" hidden="false" customHeight="false" outlineLevel="0" collapsed="false">
      <c r="A69" s="8" t="n">
        <v>46315.8922032523</v>
      </c>
      <c r="B69" s="3" t="s">
        <v>121</v>
      </c>
      <c r="C69" s="0" t="n">
        <v>0</v>
      </c>
      <c r="D69" s="0" t="n">
        <v>9.9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-35.3632621</v>
      </c>
      <c r="L69" s="0" t="n">
        <v>149.1652374</v>
      </c>
      <c r="M69" s="0" t="n">
        <v>0</v>
      </c>
      <c r="N69" s="3" t="n">
        <f aca="false">(A69-$A$2)*86400</f>
        <v>72.45899958</v>
      </c>
      <c r="O69" s="3" t="n">
        <f aca="false">D69*0.3048</f>
        <v>3.01752</v>
      </c>
      <c r="P69" s="3" t="n">
        <f aca="false">E69*0.44704</f>
        <v>0</v>
      </c>
      <c r="Q69" s="3" t="n">
        <f aca="false">F69*0.44704</f>
        <v>0</v>
      </c>
    </row>
    <row r="70" customFormat="false" ht="15" hidden="false" customHeight="false" outlineLevel="0" collapsed="false">
      <c r="A70" s="8" t="n">
        <v>46315.892214838</v>
      </c>
      <c r="B70" s="3" t="s">
        <v>122</v>
      </c>
      <c r="C70" s="0" t="n">
        <v>0</v>
      </c>
      <c r="D70" s="0" t="n">
        <v>9.9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-35.3632621</v>
      </c>
      <c r="L70" s="0" t="n">
        <v>149.1652374</v>
      </c>
      <c r="M70" s="0" t="n">
        <v>0</v>
      </c>
      <c r="N70" s="3" t="n">
        <f aca="false">(A70-$A$2)*86400</f>
        <v>73.459999356</v>
      </c>
      <c r="O70" s="3" t="n">
        <f aca="false">D70*0.3048</f>
        <v>3.01752</v>
      </c>
      <c r="P70" s="3" t="n">
        <f aca="false">E70*0.44704</f>
        <v>0</v>
      </c>
      <c r="Q70" s="3" t="n">
        <f aca="false">F70*0.44704</f>
        <v>0</v>
      </c>
    </row>
    <row r="71" customFormat="false" ht="15" hidden="false" customHeight="false" outlineLevel="0" collapsed="false">
      <c r="A71" s="8" t="n">
        <v>46315.8922262732</v>
      </c>
      <c r="B71" s="3" t="s">
        <v>123</v>
      </c>
      <c r="C71" s="0" t="n">
        <v>0</v>
      </c>
      <c r="D71" s="0" t="n">
        <v>9.9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-35.3632621</v>
      </c>
      <c r="L71" s="0" t="n">
        <v>149.1652374</v>
      </c>
      <c r="M71" s="0" t="n">
        <v>0</v>
      </c>
      <c r="N71" s="3" t="n">
        <f aca="false">(A71-$A$2)*86400</f>
        <v>74.448000057</v>
      </c>
      <c r="O71" s="3" t="n">
        <f aca="false">D71*0.3048</f>
        <v>3.01752</v>
      </c>
      <c r="P71" s="3" t="n">
        <f aca="false">E71*0.44704</f>
        <v>0</v>
      </c>
      <c r="Q71" s="3" t="n">
        <f aca="false">F71*0.44704</f>
        <v>0</v>
      </c>
    </row>
    <row r="72" customFormat="false" ht="15" hidden="false" customHeight="false" outlineLevel="0" collapsed="false">
      <c r="A72" s="8" t="n">
        <v>46315.8922379051</v>
      </c>
      <c r="B72" s="3" t="s">
        <v>124</v>
      </c>
      <c r="C72" s="0" t="n">
        <v>0</v>
      </c>
      <c r="D72" s="0" t="n">
        <v>9.9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-35.3632621</v>
      </c>
      <c r="L72" s="0" t="n">
        <v>149.1652374</v>
      </c>
      <c r="M72" s="0" t="n">
        <v>0</v>
      </c>
      <c r="N72" s="3" t="n">
        <f aca="false">(A72-$A$2)*86400</f>
        <v>75.452999887</v>
      </c>
      <c r="O72" s="3" t="n">
        <f aca="false">D72*0.3048</f>
        <v>3.01752</v>
      </c>
      <c r="P72" s="3" t="n">
        <f aca="false">E72*0.44704</f>
        <v>0</v>
      </c>
      <c r="Q72" s="3" t="n">
        <f aca="false">F72*0.44704</f>
        <v>0</v>
      </c>
    </row>
    <row r="73" customFormat="false" ht="15" hidden="false" customHeight="false" outlineLevel="0" collapsed="false">
      <c r="A73" s="8" t="n">
        <v>46315.8922493287</v>
      </c>
      <c r="B73" s="3" t="s">
        <v>125</v>
      </c>
      <c r="C73" s="0" t="n">
        <v>0</v>
      </c>
      <c r="D73" s="0" t="n">
        <v>9.9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-35.3632621</v>
      </c>
      <c r="L73" s="0" t="n">
        <v>149.1652374</v>
      </c>
      <c r="M73" s="0" t="n">
        <v>0</v>
      </c>
      <c r="N73" s="3" t="n">
        <f aca="false">(A73-$A$2)*86400</f>
        <v>76.439999788</v>
      </c>
      <c r="O73" s="3" t="n">
        <f aca="false">D73*0.3048</f>
        <v>3.01752</v>
      </c>
      <c r="P73" s="3" t="n">
        <f aca="false">E73*0.44704</f>
        <v>0</v>
      </c>
      <c r="Q73" s="3" t="n">
        <f aca="false">F73*0.44704</f>
        <v>0</v>
      </c>
    </row>
    <row r="74" customFormat="false" ht="15" hidden="false" customHeight="false" outlineLevel="0" collapsed="false">
      <c r="A74" s="8" t="n">
        <v>46315.8922610995</v>
      </c>
      <c r="B74" s="3" t="s">
        <v>126</v>
      </c>
      <c r="C74" s="0" t="n">
        <v>0</v>
      </c>
      <c r="D74" s="0" t="n">
        <v>10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-35.3632621</v>
      </c>
      <c r="L74" s="0" t="n">
        <v>149.1652374</v>
      </c>
      <c r="M74" s="0" t="n">
        <v>0</v>
      </c>
      <c r="N74" s="3" t="n">
        <f aca="false">(A74-$A$2)*86400</f>
        <v>77.457000408</v>
      </c>
      <c r="O74" s="3" t="n">
        <f aca="false">D74*0.3048</f>
        <v>3.048</v>
      </c>
      <c r="P74" s="3" t="n">
        <f aca="false">E74*0.44704</f>
        <v>0</v>
      </c>
      <c r="Q74" s="3" t="n">
        <f aca="false">F74*0.44704</f>
        <v>0</v>
      </c>
    </row>
    <row r="75" customFormat="false" ht="15" hidden="false" customHeight="false" outlineLevel="0" collapsed="false">
      <c r="A75" s="8" t="n">
        <v>46315.892273044</v>
      </c>
      <c r="B75" s="3" t="s">
        <v>127</v>
      </c>
      <c r="C75" s="0" t="n">
        <v>0</v>
      </c>
      <c r="D75" s="0" t="n">
        <v>9.9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-35.3632621</v>
      </c>
      <c r="L75" s="0" t="n">
        <v>149.1652374</v>
      </c>
      <c r="M75" s="0" t="n">
        <v>0</v>
      </c>
      <c r="N75" s="3" t="n">
        <f aca="false">(A75-$A$2)*86400</f>
        <v>78.488999814</v>
      </c>
      <c r="O75" s="3" t="n">
        <f aca="false">D75*0.3048</f>
        <v>3.01752</v>
      </c>
      <c r="P75" s="3" t="n">
        <f aca="false">E75*0.44704</f>
        <v>0</v>
      </c>
      <c r="Q75" s="3" t="n">
        <f aca="false">F75*0.44704</f>
        <v>0</v>
      </c>
    </row>
    <row r="76" customFormat="false" ht="15" hidden="false" customHeight="false" outlineLevel="0" collapsed="false">
      <c r="A76" s="8" t="n">
        <v>46315.8922844907</v>
      </c>
      <c r="B76" s="3" t="s">
        <v>128</v>
      </c>
      <c r="C76" s="0" t="n">
        <v>0</v>
      </c>
      <c r="D76" s="0" t="n">
        <v>9.9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-35.3632621</v>
      </c>
      <c r="L76" s="0" t="n">
        <v>149.1652374</v>
      </c>
      <c r="M76" s="0" t="n">
        <v>0</v>
      </c>
      <c r="N76" s="3" t="n">
        <f aca="false">(A76-$A$2)*86400</f>
        <v>79.478000057</v>
      </c>
      <c r="O76" s="3" t="n">
        <f aca="false">D76*0.3048</f>
        <v>3.01752</v>
      </c>
      <c r="P76" s="3" t="n">
        <f aca="false">E76*0.44704</f>
        <v>0</v>
      </c>
      <c r="Q76" s="3" t="n">
        <f aca="false">F76*0.44704</f>
        <v>0</v>
      </c>
    </row>
    <row r="77" customFormat="false" ht="15" hidden="false" customHeight="false" outlineLevel="0" collapsed="false">
      <c r="A77" s="8" t="n">
        <v>46315.8922963889</v>
      </c>
      <c r="B77" s="3" t="s">
        <v>129</v>
      </c>
      <c r="C77" s="0" t="n">
        <v>0</v>
      </c>
      <c r="D77" s="0" t="n">
        <v>9.9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-35.3632621</v>
      </c>
      <c r="L77" s="0" t="n">
        <v>149.1652374</v>
      </c>
      <c r="M77" s="0" t="n">
        <v>0</v>
      </c>
      <c r="N77" s="3" t="n">
        <f aca="false">(A77-$A$2)*86400</f>
        <v>80.506000039</v>
      </c>
      <c r="O77" s="3" t="n">
        <f aca="false">D77*0.3048</f>
        <v>3.01752</v>
      </c>
      <c r="P77" s="3" t="n">
        <f aca="false">E77*0.44704</f>
        <v>0</v>
      </c>
      <c r="Q77" s="3" t="n">
        <f aca="false">F77*0.44704</f>
        <v>0</v>
      </c>
    </row>
    <row r="78" customFormat="false" ht="15" hidden="false" customHeight="false" outlineLevel="0" collapsed="false">
      <c r="A78" s="8" t="n">
        <v>46315.8923074537</v>
      </c>
      <c r="B78" s="3" t="s">
        <v>130</v>
      </c>
      <c r="C78" s="0" t="n">
        <v>0</v>
      </c>
      <c r="D78" s="0" t="n">
        <v>9.9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-35.3632621</v>
      </c>
      <c r="L78" s="0" t="n">
        <v>149.1652374</v>
      </c>
      <c r="M78" s="0" t="n">
        <v>0</v>
      </c>
      <c r="N78" s="3" t="n">
        <f aca="false">(A78-$A$2)*86400</f>
        <v>81.461999681</v>
      </c>
      <c r="O78" s="3" t="n">
        <f aca="false">D78*0.3048</f>
        <v>3.01752</v>
      </c>
      <c r="P78" s="3" t="n">
        <f aca="false">E78*0.44704</f>
        <v>0</v>
      </c>
      <c r="Q78" s="3" t="n">
        <f aca="false">F78*0.44704</f>
        <v>0</v>
      </c>
    </row>
    <row r="79" customFormat="false" ht="15" hidden="false" customHeight="false" outlineLevel="0" collapsed="false">
      <c r="A79" s="8" t="n">
        <v>46315.8923191319</v>
      </c>
      <c r="B79" s="3" t="s">
        <v>131</v>
      </c>
      <c r="C79" s="0" t="n">
        <v>0</v>
      </c>
      <c r="D79" s="0" t="n">
        <v>10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-35.3632621</v>
      </c>
      <c r="L79" s="0" t="n">
        <v>149.1652374</v>
      </c>
      <c r="M79" s="0" t="n">
        <v>0</v>
      </c>
      <c r="N79" s="3" t="n">
        <f aca="false">(A79-$A$2)*86400</f>
        <v>82.470999564</v>
      </c>
      <c r="O79" s="3" t="n">
        <f aca="false">D79*0.3048</f>
        <v>3.048</v>
      </c>
      <c r="P79" s="3" t="n">
        <f aca="false">E79*0.44704</f>
        <v>0</v>
      </c>
      <c r="Q79" s="3" t="n">
        <f aca="false">F79*0.44704</f>
        <v>0</v>
      </c>
    </row>
    <row r="80" customFormat="false" ht="15" hidden="false" customHeight="false" outlineLevel="0" collapsed="false">
      <c r="A80" s="8" t="n">
        <v>46315.8923309259</v>
      </c>
      <c r="B80" s="3" t="s">
        <v>132</v>
      </c>
      <c r="C80" s="0" t="n">
        <v>0</v>
      </c>
      <c r="D80" s="0" t="n">
        <v>10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-35.3632621</v>
      </c>
      <c r="L80" s="0" t="n">
        <v>149.1652374</v>
      </c>
      <c r="M80" s="0" t="n">
        <v>0</v>
      </c>
      <c r="N80" s="3" t="n">
        <f aca="false">(A80-$A$2)*86400</f>
        <v>83.490000525</v>
      </c>
      <c r="O80" s="3" t="n">
        <f aca="false">D80*0.3048</f>
        <v>3.048</v>
      </c>
      <c r="P80" s="3" t="n">
        <f aca="false">E80*0.44704</f>
        <v>0</v>
      </c>
      <c r="Q80" s="3" t="n">
        <f aca="false">F80*0.44704</f>
        <v>0</v>
      </c>
    </row>
    <row r="81" customFormat="false" ht="15" hidden="false" customHeight="false" outlineLevel="0" collapsed="false">
      <c r="A81" s="8" t="n">
        <v>46315.8923422222</v>
      </c>
      <c r="B81" s="3" t="s">
        <v>133</v>
      </c>
      <c r="C81" s="0" t="n">
        <v>0</v>
      </c>
      <c r="D81" s="0" t="n">
        <v>9.9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-35.3632621</v>
      </c>
      <c r="L81" s="0" t="n">
        <v>149.1652374</v>
      </c>
      <c r="M81" s="0" t="n">
        <v>0</v>
      </c>
      <c r="N81" s="3" t="n">
        <f aca="false">(A81-$A$2)*86400</f>
        <v>84.465999808</v>
      </c>
      <c r="O81" s="3" t="n">
        <f aca="false">D81*0.3048</f>
        <v>3.01752</v>
      </c>
      <c r="P81" s="3" t="n">
        <f aca="false">E81*0.44704</f>
        <v>0</v>
      </c>
      <c r="Q81" s="3" t="n">
        <f aca="false">F81*0.44704</f>
        <v>0</v>
      </c>
    </row>
    <row r="82" customFormat="false" ht="15" hidden="false" customHeight="false" outlineLevel="0" collapsed="false">
      <c r="A82" s="8" t="n">
        <v>46315.8923535532</v>
      </c>
      <c r="B82" s="3" t="s">
        <v>134</v>
      </c>
      <c r="C82" s="0" t="n">
        <v>0</v>
      </c>
      <c r="D82" s="0" t="n">
        <v>9.9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-35.3632621</v>
      </c>
      <c r="L82" s="0" t="n">
        <v>149.1652374</v>
      </c>
      <c r="M82" s="0" t="n">
        <v>0</v>
      </c>
      <c r="N82" s="3" t="n">
        <f aca="false">(A82-$A$2)*86400</f>
        <v>85.444999602</v>
      </c>
      <c r="O82" s="3" t="n">
        <f aca="false">D82*0.3048</f>
        <v>3.01752</v>
      </c>
      <c r="P82" s="3" t="n">
        <f aca="false">E82*0.44704</f>
        <v>0</v>
      </c>
      <c r="Q82" s="3" t="n">
        <f aca="false">F82*0.44704</f>
        <v>0</v>
      </c>
    </row>
    <row r="83" customFormat="false" ht="15" hidden="false" customHeight="false" outlineLevel="0" collapsed="false">
      <c r="A83" s="8" t="n">
        <v>46315.8923654051</v>
      </c>
      <c r="B83" s="3" t="s">
        <v>135</v>
      </c>
      <c r="C83" s="0" t="n">
        <v>0</v>
      </c>
      <c r="D83" s="0" t="n">
        <v>9.9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-35.3632621</v>
      </c>
      <c r="L83" s="0" t="n">
        <v>149.1652374</v>
      </c>
      <c r="M83" s="0" t="n">
        <v>0</v>
      </c>
      <c r="N83" s="3" t="n">
        <f aca="false">(A83-$A$2)*86400</f>
        <v>86.469000787</v>
      </c>
      <c r="O83" s="3" t="n">
        <f aca="false">D83*0.3048</f>
        <v>3.01752</v>
      </c>
      <c r="P83" s="3" t="n">
        <f aca="false">E83*0.44704</f>
        <v>0</v>
      </c>
      <c r="Q83" s="3" t="n">
        <f aca="false">F83*0.44704</f>
        <v>0</v>
      </c>
    </row>
    <row r="84" customFormat="false" ht="15" hidden="false" customHeight="false" outlineLevel="0" collapsed="false">
      <c r="A84" s="8" t="n">
        <v>46315.892377037</v>
      </c>
      <c r="B84" s="3" t="s">
        <v>136</v>
      </c>
      <c r="C84" s="0" t="n">
        <v>0</v>
      </c>
      <c r="D84" s="0" t="n">
        <v>10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-35.3632621</v>
      </c>
      <c r="L84" s="0" t="n">
        <v>149.1652374</v>
      </c>
      <c r="M84" s="0" t="n">
        <v>0</v>
      </c>
      <c r="N84" s="3" t="n">
        <f aca="false">(A84-$A$2)*86400</f>
        <v>87.473999988</v>
      </c>
      <c r="O84" s="3" t="n">
        <f aca="false">D84*0.3048</f>
        <v>3.048</v>
      </c>
      <c r="P84" s="3" t="n">
        <f aca="false">E84*0.44704</f>
        <v>0</v>
      </c>
      <c r="Q84" s="3" t="n">
        <f aca="false">F84*0.44704</f>
        <v>0</v>
      </c>
    </row>
    <row r="85" customFormat="false" ht="15" hidden="false" customHeight="false" outlineLevel="0" collapsed="false">
      <c r="A85" s="8" t="n">
        <v>46315.8923886111</v>
      </c>
      <c r="B85" s="3" t="s">
        <v>137</v>
      </c>
      <c r="C85" s="0" t="n">
        <v>0</v>
      </c>
      <c r="D85" s="0" t="n">
        <v>10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-35.3632621</v>
      </c>
      <c r="L85" s="0" t="n">
        <v>149.1652374</v>
      </c>
      <c r="M85" s="0" t="n">
        <v>0</v>
      </c>
      <c r="N85" s="3" t="n">
        <f aca="false">(A85-$A$2)*86400</f>
        <v>88.473999593</v>
      </c>
      <c r="O85" s="3" t="n">
        <f aca="false">D85*0.3048</f>
        <v>3.048</v>
      </c>
      <c r="P85" s="3" t="n">
        <f aca="false">E85*0.44704</f>
        <v>0</v>
      </c>
      <c r="Q85" s="3" t="n">
        <f aca="false">F85*0.44704</f>
        <v>0</v>
      </c>
    </row>
    <row r="86" customFormat="false" ht="15" hidden="false" customHeight="false" outlineLevel="0" collapsed="false">
      <c r="A86" s="8" t="n">
        <v>46315.8924000926</v>
      </c>
      <c r="B86" s="3" t="s">
        <v>138</v>
      </c>
      <c r="C86" s="0" t="n">
        <v>0</v>
      </c>
      <c r="D86" s="0" t="n">
        <v>9.9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-35.3632621</v>
      </c>
      <c r="L86" s="0" t="n">
        <v>149.1652374</v>
      </c>
      <c r="M86" s="0" t="n">
        <v>0</v>
      </c>
      <c r="N86" s="3" t="n">
        <f aca="false">(A86-$A$2)*86400</f>
        <v>89.465999719</v>
      </c>
      <c r="O86" s="3" t="n">
        <f aca="false">D86*0.3048</f>
        <v>3.01752</v>
      </c>
      <c r="P86" s="3" t="n">
        <f aca="false">E86*0.44704</f>
        <v>0</v>
      </c>
      <c r="Q86" s="3" t="n">
        <f aca="false">F86*0.44704</f>
        <v>0</v>
      </c>
    </row>
    <row r="87" customFormat="false" ht="15" hidden="false" customHeight="false" outlineLevel="0" collapsed="false">
      <c r="A87" s="8" t="n">
        <v>46315.8924118866</v>
      </c>
      <c r="B87" s="3" t="s">
        <v>139</v>
      </c>
      <c r="C87" s="0" t="n">
        <v>0</v>
      </c>
      <c r="D87" s="0" t="n">
        <v>9.9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-35.3632621</v>
      </c>
      <c r="L87" s="0" t="n">
        <v>149.1652374</v>
      </c>
      <c r="M87" s="0" t="n">
        <v>0</v>
      </c>
      <c r="N87" s="3" t="n">
        <f aca="false">(A87-$A$2)*86400</f>
        <v>90.48500068</v>
      </c>
      <c r="O87" s="3" t="n">
        <f aca="false">D87*0.3048</f>
        <v>3.01752</v>
      </c>
      <c r="P87" s="3" t="n">
        <f aca="false">E87*0.44704</f>
        <v>0</v>
      </c>
      <c r="Q87" s="3" t="n">
        <f aca="false">F87*0.44704</f>
        <v>0</v>
      </c>
    </row>
    <row r="88" customFormat="false" ht="15" hidden="false" customHeight="false" outlineLevel="0" collapsed="false">
      <c r="A88" s="8" t="n">
        <v>46315.8924233912</v>
      </c>
      <c r="B88" s="3" t="s">
        <v>140</v>
      </c>
      <c r="C88" s="0" t="n">
        <v>0</v>
      </c>
      <c r="D88" s="0" t="n">
        <v>10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-35.3632621</v>
      </c>
      <c r="L88" s="0" t="n">
        <v>149.1652374</v>
      </c>
      <c r="M88" s="0" t="n">
        <v>0</v>
      </c>
      <c r="N88" s="3" t="n">
        <f aca="false">(A88-$A$2)*86400</f>
        <v>91.478999261</v>
      </c>
      <c r="O88" s="3" t="n">
        <f aca="false">D88*0.3048</f>
        <v>3.048</v>
      </c>
      <c r="P88" s="3" t="n">
        <f aca="false">E88*0.44704</f>
        <v>0</v>
      </c>
      <c r="Q88" s="3" t="n">
        <f aca="false">F88*0.44704</f>
        <v>0</v>
      </c>
    </row>
    <row r="89" customFormat="false" ht="15" hidden="false" customHeight="false" outlineLevel="0" collapsed="false">
      <c r="A89" s="8" t="n">
        <v>46315.8924346412</v>
      </c>
      <c r="B89" s="3" t="s">
        <v>141</v>
      </c>
      <c r="C89" s="0" t="n">
        <v>0</v>
      </c>
      <c r="D89" s="0" t="n">
        <v>10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-35.3632621</v>
      </c>
      <c r="L89" s="0" t="n">
        <v>149.1652374</v>
      </c>
      <c r="M89" s="0" t="n">
        <v>0</v>
      </c>
      <c r="N89" s="3" t="n">
        <f aca="false">(A89-$A$2)*86400</f>
        <v>92.450999747</v>
      </c>
      <c r="O89" s="3" t="n">
        <f aca="false">D89*0.3048</f>
        <v>3.048</v>
      </c>
      <c r="P89" s="3" t="n">
        <f aca="false">E89*0.44704</f>
        <v>0</v>
      </c>
      <c r="Q89" s="3" t="n">
        <f aca="false">F89*0.44704</f>
        <v>0</v>
      </c>
    </row>
    <row r="90" customFormat="false" ht="15" hidden="false" customHeight="false" outlineLevel="0" collapsed="false">
      <c r="A90" s="8" t="n">
        <v>46315.8924465046</v>
      </c>
      <c r="B90" s="3" t="s">
        <v>142</v>
      </c>
      <c r="C90" s="0" t="n">
        <v>0</v>
      </c>
      <c r="D90" s="0" t="n">
        <v>10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-35.3632621</v>
      </c>
      <c r="L90" s="0" t="n">
        <v>149.1652374</v>
      </c>
      <c r="M90" s="0" t="n">
        <v>0</v>
      </c>
      <c r="N90" s="3" t="n">
        <f aca="false">(A90-$A$2)*86400</f>
        <v>93.475999846</v>
      </c>
      <c r="O90" s="3" t="n">
        <f aca="false">D90*0.3048</f>
        <v>3.048</v>
      </c>
      <c r="P90" s="3" t="n">
        <f aca="false">E90*0.44704</f>
        <v>0</v>
      </c>
      <c r="Q90" s="3" t="n">
        <f aca="false">F90*0.44704</f>
        <v>0</v>
      </c>
    </row>
    <row r="91" customFormat="false" ht="15" hidden="false" customHeight="false" outlineLevel="0" collapsed="false">
      <c r="A91" s="8" t="n">
        <v>46315.8924581713</v>
      </c>
      <c r="B91" s="3" t="s">
        <v>143</v>
      </c>
      <c r="C91" s="0" t="n">
        <v>0</v>
      </c>
      <c r="D91" s="0" t="n">
        <v>9.9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-35.3632621</v>
      </c>
      <c r="L91" s="0" t="n">
        <v>149.1652374</v>
      </c>
      <c r="M91" s="0" t="n">
        <v>0</v>
      </c>
      <c r="N91" s="3" t="n">
        <f aca="false">(A91-$A$2)*86400</f>
        <v>94.483999558</v>
      </c>
      <c r="O91" s="3" t="n">
        <f aca="false">D91*0.3048</f>
        <v>3.01752</v>
      </c>
      <c r="P91" s="3" t="n">
        <f aca="false">E91*0.44704</f>
        <v>0</v>
      </c>
      <c r="Q91" s="3" t="n">
        <f aca="false">F91*0.44704</f>
        <v>0</v>
      </c>
    </row>
    <row r="92" customFormat="false" ht="15" hidden="false" customHeight="false" outlineLevel="0" collapsed="false">
      <c r="A92" s="8" t="n">
        <v>46315.8924698611</v>
      </c>
      <c r="B92" s="3" t="s">
        <v>144</v>
      </c>
      <c r="C92" s="0" t="n">
        <v>0</v>
      </c>
      <c r="D92" s="0" t="n">
        <v>9.9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-35.3632621</v>
      </c>
      <c r="L92" s="0" t="n">
        <v>149.1652374</v>
      </c>
      <c r="M92" s="0" t="n">
        <v>0</v>
      </c>
      <c r="N92" s="3" t="n">
        <f aca="false">(A92-$A$2)*86400</f>
        <v>95.493999612</v>
      </c>
      <c r="O92" s="3" t="n">
        <f aca="false">D92*0.3048</f>
        <v>3.01752</v>
      </c>
      <c r="P92" s="3" t="n">
        <f aca="false">E92*0.44704</f>
        <v>0</v>
      </c>
      <c r="Q92" s="3" t="n">
        <f aca="false">F92*0.44704</f>
        <v>0</v>
      </c>
    </row>
    <row r="93" customFormat="false" ht="15" hidden="false" customHeight="false" outlineLevel="0" collapsed="false">
      <c r="A93" s="8" t="n">
        <v>46315.8924812037</v>
      </c>
      <c r="B93" s="3" t="s">
        <v>145</v>
      </c>
      <c r="C93" s="0" t="n">
        <v>0</v>
      </c>
      <c r="D93" s="0" t="n">
        <v>9.9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-35.3632621</v>
      </c>
      <c r="L93" s="0" t="n">
        <v>149.1652374</v>
      </c>
      <c r="M93" s="0" t="n">
        <v>0</v>
      </c>
      <c r="N93" s="3" t="n">
        <f aca="false">(A93-$A$2)*86400</f>
        <v>96.473999577</v>
      </c>
      <c r="O93" s="3" t="n">
        <f aca="false">D93*0.3048</f>
        <v>3.01752</v>
      </c>
      <c r="P93" s="3" t="n">
        <f aca="false">E93*0.44704</f>
        <v>0</v>
      </c>
      <c r="Q93" s="3" t="n">
        <f aca="false">F93*0.44704</f>
        <v>0</v>
      </c>
    </row>
    <row r="94" customFormat="false" ht="15" hidden="false" customHeight="false" outlineLevel="0" collapsed="false">
      <c r="A94" s="8" t="n">
        <v>46315.8924924306</v>
      </c>
      <c r="B94" s="3" t="s">
        <v>146</v>
      </c>
      <c r="C94" s="0" t="n">
        <v>0</v>
      </c>
      <c r="D94" s="0" t="n">
        <v>10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-35.3632621</v>
      </c>
      <c r="L94" s="0" t="n">
        <v>149.1652374</v>
      </c>
      <c r="M94" s="0" t="n">
        <v>0</v>
      </c>
      <c r="N94" s="3" t="n">
        <f aca="false">(A94-$A$2)*86400</f>
        <v>97.443999093</v>
      </c>
      <c r="O94" s="3" t="n">
        <f aca="false">D94*0.3048</f>
        <v>3.048</v>
      </c>
      <c r="P94" s="3" t="n">
        <f aca="false">E94*0.44704</f>
        <v>0</v>
      </c>
      <c r="Q94" s="3" t="n">
        <f aca="false">F94*0.44704</f>
        <v>0</v>
      </c>
    </row>
    <row r="95" customFormat="false" ht="15" hidden="false" customHeight="false" outlineLevel="0" collapsed="false">
      <c r="A95" s="8" t="n">
        <v>46315.8925045023</v>
      </c>
      <c r="B95" s="3" t="s">
        <v>147</v>
      </c>
      <c r="C95" s="0" t="n">
        <v>0</v>
      </c>
      <c r="D95" s="0" t="n">
        <v>10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-35.3632621</v>
      </c>
      <c r="L95" s="0" t="n">
        <v>149.1652374</v>
      </c>
      <c r="M95" s="0" t="n">
        <v>0</v>
      </c>
      <c r="N95" s="3" t="n">
        <f aca="false">(A95-$A$2)*86400</f>
        <v>98.486999748</v>
      </c>
      <c r="O95" s="3" t="n">
        <f aca="false">D95*0.3048</f>
        <v>3.048</v>
      </c>
      <c r="P95" s="3" t="n">
        <f aca="false">E95*0.44704</f>
        <v>0</v>
      </c>
      <c r="Q95" s="3" t="n">
        <f aca="false">F95*0.44704</f>
        <v>0</v>
      </c>
    </row>
    <row r="96" customFormat="false" ht="15" hidden="false" customHeight="false" outlineLevel="0" collapsed="false">
      <c r="A96" s="8" t="n">
        <v>46315.8925159607</v>
      </c>
      <c r="B96" s="3" t="s">
        <v>148</v>
      </c>
      <c r="C96" s="0" t="n">
        <v>0</v>
      </c>
      <c r="D96" s="0" t="n">
        <v>9.9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-35.3632621</v>
      </c>
      <c r="L96" s="0" t="n">
        <v>149.1652374</v>
      </c>
      <c r="M96" s="0" t="n">
        <v>0</v>
      </c>
      <c r="N96" s="3" t="n">
        <f aca="false">(A96-$A$2)*86400</f>
        <v>99.477000162</v>
      </c>
      <c r="O96" s="3" t="n">
        <f aca="false">D96*0.3048</f>
        <v>3.01752</v>
      </c>
      <c r="P96" s="3" t="n">
        <f aca="false">E96*0.44704</f>
        <v>0</v>
      </c>
      <c r="Q96" s="3" t="n">
        <f aca="false">F96*0.44704</f>
        <v>0</v>
      </c>
    </row>
    <row r="97" customFormat="false" ht="15" hidden="false" customHeight="false" outlineLevel="0" collapsed="false">
      <c r="A97" s="8" t="n">
        <v>46315.8925296644</v>
      </c>
      <c r="B97" s="3" t="s">
        <v>149</v>
      </c>
      <c r="C97" s="0" t="n">
        <v>0</v>
      </c>
      <c r="D97" s="0" t="n">
        <v>9.9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-35.3632621</v>
      </c>
      <c r="L97" s="0" t="n">
        <v>149.1652374</v>
      </c>
      <c r="M97" s="0" t="n">
        <v>0</v>
      </c>
      <c r="N97" s="3" t="n">
        <f aca="false">(A97-$A$2)*86400</f>
        <v>100.660999724</v>
      </c>
      <c r="O97" s="3" t="n">
        <f aca="false">D97*0.3048</f>
        <v>3.01752</v>
      </c>
      <c r="P97" s="3" t="n">
        <f aca="false">E97*0.44704</f>
        <v>0</v>
      </c>
      <c r="Q97" s="3" t="n">
        <f aca="false">F97*0.44704</f>
        <v>0</v>
      </c>
    </row>
    <row r="98" customFormat="false" ht="15" hidden="false" customHeight="false" outlineLevel="0" collapsed="false">
      <c r="A98" s="8" t="n">
        <v>46315.8925388426</v>
      </c>
      <c r="B98" s="3" t="s">
        <v>150</v>
      </c>
      <c r="C98" s="0" t="n">
        <v>0</v>
      </c>
      <c r="D98" s="0" t="n">
        <v>9.9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-35.3632621</v>
      </c>
      <c r="L98" s="0" t="n">
        <v>149.1652374</v>
      </c>
      <c r="M98" s="0" t="n">
        <v>0</v>
      </c>
      <c r="N98" s="3" t="n">
        <f aca="false">(A98-$A$2)*86400</f>
        <v>101.453999849</v>
      </c>
      <c r="O98" s="3" t="n">
        <f aca="false">D98*0.3048</f>
        <v>3.01752</v>
      </c>
      <c r="P98" s="3" t="n">
        <f aca="false">E98*0.44704</f>
        <v>0</v>
      </c>
      <c r="Q98" s="3" t="n">
        <f aca="false">F98*0.44704</f>
        <v>0</v>
      </c>
    </row>
    <row r="99" customFormat="false" ht="15" hidden="false" customHeight="false" outlineLevel="0" collapsed="false">
      <c r="A99" s="8" t="n">
        <v>46315.8925507407</v>
      </c>
      <c r="B99" s="3" t="s">
        <v>151</v>
      </c>
      <c r="C99" s="0" t="n">
        <v>0</v>
      </c>
      <c r="D99" s="0" t="n">
        <v>10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-35.3632621</v>
      </c>
      <c r="L99" s="0" t="n">
        <v>149.1652374</v>
      </c>
      <c r="M99" s="0" t="n">
        <v>0</v>
      </c>
      <c r="N99" s="3" t="n">
        <f aca="false">(A99-$A$2)*86400</f>
        <v>102.48199983</v>
      </c>
      <c r="O99" s="3" t="n">
        <f aca="false">D99*0.3048</f>
        <v>3.048</v>
      </c>
      <c r="P99" s="3" t="n">
        <f aca="false">E99*0.44704</f>
        <v>0</v>
      </c>
      <c r="Q99" s="3" t="n">
        <f aca="false">F99*0.44704</f>
        <v>0</v>
      </c>
    </row>
    <row r="100" customFormat="false" ht="15" hidden="false" customHeight="false" outlineLevel="0" collapsed="false">
      <c r="A100" s="8" t="n">
        <v>46315.8925621412</v>
      </c>
      <c r="B100" s="3" t="s">
        <v>152</v>
      </c>
      <c r="C100" s="0" t="n">
        <v>0</v>
      </c>
      <c r="D100" s="0" t="n">
        <v>10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-35.3632621</v>
      </c>
      <c r="L100" s="0" t="n">
        <v>149.1652374</v>
      </c>
      <c r="M100" s="0" t="n">
        <v>0</v>
      </c>
      <c r="N100" s="3" t="n">
        <f aca="false">(A100-$A$2)*86400</f>
        <v>103.467000648</v>
      </c>
      <c r="O100" s="3" t="n">
        <f aca="false">D100*0.3048</f>
        <v>3.048</v>
      </c>
      <c r="P100" s="3" t="n">
        <f aca="false">E100*0.44704</f>
        <v>0</v>
      </c>
      <c r="Q100" s="3" t="n">
        <f aca="false">F100*0.44704</f>
        <v>0</v>
      </c>
    </row>
    <row r="101" customFormat="false" ht="15" hidden="false" customHeight="false" outlineLevel="0" collapsed="false">
      <c r="A101" s="8" t="n">
        <v>46315.8925736921</v>
      </c>
      <c r="B101" s="3" t="s">
        <v>153</v>
      </c>
      <c r="C101" s="0" t="n">
        <v>0</v>
      </c>
      <c r="D101" s="0" t="n">
        <v>9.9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-35.3632621</v>
      </c>
      <c r="L101" s="0" t="n">
        <v>149.1652374</v>
      </c>
      <c r="M101" s="0" t="n">
        <v>0</v>
      </c>
      <c r="N101" s="3" t="n">
        <f aca="false">(A101-$A$2)*86400</f>
        <v>104.464999912</v>
      </c>
      <c r="O101" s="3" t="n">
        <f aca="false">D101*0.3048</f>
        <v>3.01752</v>
      </c>
      <c r="P101" s="3" t="n">
        <f aca="false">E101*0.44704</f>
        <v>0</v>
      </c>
      <c r="Q101" s="3" t="n">
        <f aca="false">F101*0.44704</f>
        <v>0</v>
      </c>
    </row>
    <row r="102" customFormat="false" ht="15" hidden="false" customHeight="false" outlineLevel="0" collapsed="false">
      <c r="A102" s="8" t="n">
        <v>46315.8925852199</v>
      </c>
      <c r="B102" s="3" t="s">
        <v>154</v>
      </c>
      <c r="C102" s="0" t="n">
        <v>0</v>
      </c>
      <c r="D102" s="0" t="n">
        <v>9.9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-35.3632621</v>
      </c>
      <c r="L102" s="0" t="n">
        <v>149.1652374</v>
      </c>
      <c r="M102" s="0" t="n">
        <v>0</v>
      </c>
      <c r="N102" s="3" t="n">
        <f aca="false">(A102-$A$2)*86400</f>
        <v>105.461000092</v>
      </c>
      <c r="O102" s="3" t="n">
        <f aca="false">D102*0.3048</f>
        <v>3.01752</v>
      </c>
      <c r="P102" s="3" t="n">
        <f aca="false">E102*0.44704</f>
        <v>0</v>
      </c>
      <c r="Q102" s="3" t="n">
        <f aca="false">F102*0.44704</f>
        <v>0</v>
      </c>
    </row>
    <row r="103" customFormat="false" ht="15" hidden="false" customHeight="false" outlineLevel="0" collapsed="false">
      <c r="A103" s="8" t="n">
        <v>46315.892596875</v>
      </c>
      <c r="B103" s="3" t="s">
        <v>155</v>
      </c>
      <c r="C103" s="0" t="n">
        <v>0</v>
      </c>
      <c r="D103" s="0" t="n">
        <v>9.9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-35.3632621</v>
      </c>
      <c r="L103" s="0" t="n">
        <v>149.1652374</v>
      </c>
      <c r="M103" s="0" t="n">
        <v>0</v>
      </c>
      <c r="N103" s="3" t="n">
        <f aca="false">(A103-$A$2)*86400</f>
        <v>106.467999634</v>
      </c>
      <c r="O103" s="3" t="n">
        <f aca="false">D103*0.3048</f>
        <v>3.01752</v>
      </c>
      <c r="P103" s="3" t="n">
        <f aca="false">E103*0.44704</f>
        <v>0</v>
      </c>
      <c r="Q103" s="3" t="n">
        <f aca="false">F103*0.44704</f>
        <v>0</v>
      </c>
    </row>
    <row r="104" customFormat="false" ht="15" hidden="false" customHeight="false" outlineLevel="0" collapsed="false">
      <c r="A104" s="8" t="n">
        <v>46315.8926083333</v>
      </c>
      <c r="B104" s="3" t="s">
        <v>156</v>
      </c>
      <c r="C104" s="0" t="n">
        <v>0</v>
      </c>
      <c r="D104" s="0" t="n">
        <v>10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-35.3632621</v>
      </c>
      <c r="L104" s="0" t="n">
        <v>149.1652374</v>
      </c>
      <c r="M104" s="0" t="n">
        <v>0</v>
      </c>
      <c r="N104" s="3" t="n">
        <f aca="false">(A104-$A$2)*86400</f>
        <v>107.458000676</v>
      </c>
      <c r="O104" s="3" t="n">
        <f aca="false">D104*0.3048</f>
        <v>3.048</v>
      </c>
      <c r="P104" s="3" t="n">
        <f aca="false">E104*0.44704</f>
        <v>0</v>
      </c>
      <c r="Q104" s="3" t="n">
        <f aca="false">F104*0.44704</f>
        <v>0</v>
      </c>
    </row>
    <row r="105" customFormat="false" ht="15" hidden="false" customHeight="false" outlineLevel="0" collapsed="false">
      <c r="A105" s="8" t="n">
        <v>46315.8926196991</v>
      </c>
      <c r="B105" s="3" t="s">
        <v>157</v>
      </c>
      <c r="C105" s="0" t="n">
        <v>0</v>
      </c>
      <c r="D105" s="0" t="n">
        <v>10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-35.3632621</v>
      </c>
      <c r="L105" s="0" t="n">
        <v>149.1652374</v>
      </c>
      <c r="M105" s="0" t="n">
        <v>0</v>
      </c>
      <c r="N105" s="3" t="n">
        <f aca="false">(A105-$A$2)*86400</f>
        <v>108.439999725</v>
      </c>
      <c r="O105" s="3" t="n">
        <f aca="false">D105*0.3048</f>
        <v>3.048</v>
      </c>
      <c r="P105" s="3" t="n">
        <f aca="false">E105*0.44704</f>
        <v>0</v>
      </c>
      <c r="Q105" s="3" t="n">
        <f aca="false">F105*0.44704</f>
        <v>0</v>
      </c>
    </row>
    <row r="106" customFormat="false" ht="15" hidden="false" customHeight="false" outlineLevel="0" collapsed="false">
      <c r="A106" s="8" t="n">
        <v>46315.8926318403</v>
      </c>
      <c r="B106" s="3" t="s">
        <v>158</v>
      </c>
      <c r="C106" s="0" t="n">
        <v>0</v>
      </c>
      <c r="D106" s="0" t="n">
        <v>9.9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-35.3632621</v>
      </c>
      <c r="L106" s="0" t="n">
        <v>149.1652374</v>
      </c>
      <c r="M106" s="0" t="n">
        <v>0</v>
      </c>
      <c r="N106" s="3" t="n">
        <f aca="false">(A106-$A$2)*86400</f>
        <v>109.489000146</v>
      </c>
      <c r="O106" s="3" t="n">
        <f aca="false">D106*0.3048</f>
        <v>3.01752</v>
      </c>
      <c r="P106" s="3" t="n">
        <f aca="false">E106*0.44704</f>
        <v>0</v>
      </c>
      <c r="Q106" s="3" t="n">
        <f aca="false">F106*0.44704</f>
        <v>0</v>
      </c>
    </row>
    <row r="107" customFormat="false" ht="15" hidden="false" customHeight="false" outlineLevel="0" collapsed="false">
      <c r="A107" s="8" t="n">
        <v>46315.8926433449</v>
      </c>
      <c r="B107" s="3" t="s">
        <v>159</v>
      </c>
      <c r="C107" s="0" t="n">
        <v>0</v>
      </c>
      <c r="D107" s="0" t="n">
        <v>9.9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-35.3632621</v>
      </c>
      <c r="L107" s="0" t="n">
        <v>149.1652374</v>
      </c>
      <c r="M107" s="0" t="n">
        <v>0</v>
      </c>
      <c r="N107" s="3" t="n">
        <f aca="false">(A107-$A$2)*86400</f>
        <v>110.482999985</v>
      </c>
      <c r="O107" s="3" t="n">
        <f aca="false">D107*0.3048</f>
        <v>3.01752</v>
      </c>
      <c r="P107" s="3" t="n">
        <f aca="false">E107*0.44704</f>
        <v>0</v>
      </c>
      <c r="Q107" s="3" t="n">
        <f aca="false">F107*0.44704</f>
        <v>0</v>
      </c>
    </row>
    <row r="108" customFormat="false" ht="15" hidden="false" customHeight="false" outlineLevel="0" collapsed="false">
      <c r="A108" s="8" t="n">
        <v>46315.8926546759</v>
      </c>
      <c r="B108" s="3" t="s">
        <v>160</v>
      </c>
      <c r="C108" s="0" t="n">
        <v>0</v>
      </c>
      <c r="D108" s="0" t="n">
        <v>10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-35.3632621</v>
      </c>
      <c r="L108" s="0" t="n">
        <v>149.1652374</v>
      </c>
      <c r="M108" s="0" t="n">
        <v>0</v>
      </c>
      <c r="N108" s="3" t="n">
        <f aca="false">(A108-$A$2)*86400</f>
        <v>111.46199915</v>
      </c>
      <c r="O108" s="3" t="n">
        <f aca="false">D108*0.3048</f>
        <v>3.048</v>
      </c>
      <c r="P108" s="3" t="n">
        <f aca="false">E108*0.44704</f>
        <v>0</v>
      </c>
      <c r="Q108" s="3" t="n">
        <f aca="false">F108*0.44704</f>
        <v>0</v>
      </c>
    </row>
    <row r="109" customFormat="false" ht="15" hidden="false" customHeight="false" outlineLevel="0" collapsed="false">
      <c r="A109" s="8" t="n">
        <v>46315.8926661806</v>
      </c>
      <c r="B109" s="3" t="s">
        <v>161</v>
      </c>
      <c r="C109" s="0" t="n">
        <v>0</v>
      </c>
      <c r="D109" s="0" t="n">
        <v>10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-35.3632621</v>
      </c>
      <c r="L109" s="0" t="n">
        <v>149.1652374</v>
      </c>
      <c r="M109" s="0" t="n">
        <v>0</v>
      </c>
      <c r="N109" s="3" t="n">
        <f aca="false">(A109-$A$2)*86400</f>
        <v>112.455999618</v>
      </c>
      <c r="O109" s="3" t="n">
        <f aca="false">D109*0.3048</f>
        <v>3.048</v>
      </c>
      <c r="P109" s="3" t="n">
        <f aca="false">E109*0.44704</f>
        <v>0</v>
      </c>
      <c r="Q109" s="3" t="n">
        <f aca="false">F109*0.44704</f>
        <v>0</v>
      </c>
    </row>
    <row r="110" customFormat="false" ht="15" hidden="false" customHeight="false" outlineLevel="0" collapsed="false">
      <c r="A110" s="8" t="n">
        <v>46315.8926779514</v>
      </c>
      <c r="B110" s="3" t="s">
        <v>162</v>
      </c>
      <c r="C110" s="0" t="n">
        <v>0</v>
      </c>
      <c r="D110" s="0" t="n">
        <v>10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-35.3632621</v>
      </c>
      <c r="L110" s="0" t="n">
        <v>149.1652374</v>
      </c>
      <c r="M110" s="0" t="n">
        <v>0</v>
      </c>
      <c r="N110" s="3" t="n">
        <f aca="false">(A110-$A$2)*86400</f>
        <v>113.473000237</v>
      </c>
      <c r="O110" s="3" t="n">
        <f aca="false">D110*0.3048</f>
        <v>3.048</v>
      </c>
      <c r="P110" s="3" t="n">
        <f aca="false">E110*0.44704</f>
        <v>0</v>
      </c>
      <c r="Q110" s="3" t="n">
        <f aca="false">F110*0.44704</f>
        <v>0</v>
      </c>
    </row>
    <row r="111" customFormat="false" ht="15" hidden="false" customHeight="false" outlineLevel="0" collapsed="false">
      <c r="A111" s="8" t="n">
        <v>46315.8926893403</v>
      </c>
      <c r="B111" s="3" t="s">
        <v>163</v>
      </c>
      <c r="C111" s="0" t="n">
        <v>0</v>
      </c>
      <c r="D111" s="0" t="n">
        <v>9.9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-35.3632621</v>
      </c>
      <c r="L111" s="0" t="n">
        <v>149.1652374</v>
      </c>
      <c r="M111" s="0" t="n">
        <v>0</v>
      </c>
      <c r="N111" s="3" t="n">
        <f aca="false">(A111-$A$2)*86400</f>
        <v>114.456998999</v>
      </c>
      <c r="O111" s="3" t="n">
        <f aca="false">D111*0.3048</f>
        <v>3.01752</v>
      </c>
      <c r="P111" s="3" t="n">
        <f aca="false">E111*0.44704</f>
        <v>0</v>
      </c>
      <c r="Q111" s="3" t="n">
        <f aca="false">F111*0.44704</f>
        <v>0</v>
      </c>
    </row>
    <row r="112" customFormat="false" ht="15" hidden="false" customHeight="false" outlineLevel="0" collapsed="false">
      <c r="A112" s="8" t="n">
        <v>46315.8927010764</v>
      </c>
      <c r="B112" s="3" t="s">
        <v>164</v>
      </c>
      <c r="C112" s="0" t="n">
        <v>0</v>
      </c>
      <c r="D112" s="0" t="n">
        <v>9.9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-35.3632621</v>
      </c>
      <c r="L112" s="0" t="n">
        <v>149.1652374</v>
      </c>
      <c r="M112" s="0" t="n">
        <v>0</v>
      </c>
      <c r="N112" s="3" t="n">
        <f aca="false">(A112-$A$2)*86400</f>
        <v>115.470999735</v>
      </c>
      <c r="O112" s="3" t="n">
        <f aca="false">D112*0.3048</f>
        <v>3.01752</v>
      </c>
      <c r="P112" s="3" t="n">
        <f aca="false">E112*0.44704</f>
        <v>0</v>
      </c>
      <c r="Q112" s="3" t="n">
        <f aca="false">F112*0.44704</f>
        <v>0</v>
      </c>
    </row>
    <row r="113" customFormat="false" ht="15" hidden="false" customHeight="false" outlineLevel="0" collapsed="false">
      <c r="A113" s="8" t="n">
        <v>46315.8927133681</v>
      </c>
      <c r="B113" s="3" t="s">
        <v>165</v>
      </c>
      <c r="C113" s="0" t="n">
        <v>0</v>
      </c>
      <c r="D113" s="0" t="n">
        <v>10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-35.3632621</v>
      </c>
      <c r="L113" s="0" t="n">
        <v>149.1652374</v>
      </c>
      <c r="M113" s="0" t="n">
        <v>0</v>
      </c>
      <c r="N113" s="3" t="n">
        <f aca="false">(A113-$A$2)*86400</f>
        <v>116.533000487</v>
      </c>
      <c r="O113" s="3" t="n">
        <f aca="false">D113*0.3048</f>
        <v>3.048</v>
      </c>
      <c r="P113" s="3" t="n">
        <f aca="false">E113*0.44704</f>
        <v>0</v>
      </c>
      <c r="Q113" s="3" t="n">
        <f aca="false">F113*0.44704</f>
        <v>0</v>
      </c>
    </row>
    <row r="114" customFormat="false" ht="15" hidden="false" customHeight="false" outlineLevel="0" collapsed="false">
      <c r="A114" s="8" t="n">
        <v>46315.892724294</v>
      </c>
      <c r="B114" s="3" t="s">
        <v>166</v>
      </c>
      <c r="C114" s="0" t="n">
        <v>0</v>
      </c>
      <c r="D114" s="0" t="n">
        <v>10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-35.3632621</v>
      </c>
      <c r="L114" s="0" t="n">
        <v>149.1652374</v>
      </c>
      <c r="M114" s="0" t="n">
        <v>0</v>
      </c>
      <c r="N114" s="3" t="n">
        <f aca="false">(A114-$A$2)*86400</f>
        <v>117.476999969</v>
      </c>
      <c r="O114" s="3" t="n">
        <f aca="false">D114*0.3048</f>
        <v>3.048</v>
      </c>
      <c r="P114" s="3" t="n">
        <f aca="false">E114*0.44704</f>
        <v>0</v>
      </c>
      <c r="Q114" s="3" t="n">
        <f aca="false">F114*0.44704</f>
        <v>0</v>
      </c>
    </row>
    <row r="115" customFormat="false" ht="15" hidden="false" customHeight="false" outlineLevel="0" collapsed="false">
      <c r="A115" s="8" t="n">
        <v>46315.892735463</v>
      </c>
      <c r="B115" s="3" t="s">
        <v>167</v>
      </c>
      <c r="C115" s="0" t="n">
        <v>0</v>
      </c>
      <c r="D115" s="0" t="n">
        <v>10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-35.3632621</v>
      </c>
      <c r="L115" s="0" t="n">
        <v>149.1652374</v>
      </c>
      <c r="M115" s="0" t="n">
        <v>0</v>
      </c>
      <c r="N115" s="3" t="n">
        <f aca="false">(A115-$A$2)*86400</f>
        <v>118.441999889</v>
      </c>
      <c r="O115" s="3" t="n">
        <f aca="false">D115*0.3048</f>
        <v>3.048</v>
      </c>
      <c r="P115" s="3" t="n">
        <f aca="false">E115*0.44704</f>
        <v>0</v>
      </c>
      <c r="Q115" s="3" t="n">
        <f aca="false">F115*0.44704</f>
        <v>0</v>
      </c>
    </row>
    <row r="116" customFormat="false" ht="15" hidden="false" customHeight="false" outlineLevel="0" collapsed="false">
      <c r="A116" s="8" t="n">
        <v>46315.892747338</v>
      </c>
      <c r="B116" s="3" t="s">
        <v>168</v>
      </c>
      <c r="C116" s="0" t="n">
        <v>0</v>
      </c>
      <c r="D116" s="0" t="n">
        <v>9.9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-35.3632621</v>
      </c>
      <c r="L116" s="0" t="n">
        <v>149.1652374</v>
      </c>
      <c r="M116" s="0" t="n">
        <v>0</v>
      </c>
      <c r="N116" s="3" t="n">
        <f aca="false">(A116-$A$2)*86400</f>
        <v>119.468000787</v>
      </c>
      <c r="O116" s="3" t="n">
        <f aca="false">D116*0.3048</f>
        <v>3.01752</v>
      </c>
      <c r="P116" s="3" t="n">
        <f aca="false">E116*0.44704</f>
        <v>0</v>
      </c>
      <c r="Q116" s="3" t="n">
        <f aca="false">F116*0.44704</f>
        <v>0</v>
      </c>
    </row>
    <row r="117" customFormat="false" ht="15" hidden="false" customHeight="false" outlineLevel="0" collapsed="false">
      <c r="A117" s="8" t="n">
        <v>46315.8927591204</v>
      </c>
      <c r="B117" s="3" t="s">
        <v>169</v>
      </c>
      <c r="C117" s="0" t="n">
        <v>0</v>
      </c>
      <c r="D117" s="0" t="n">
        <v>9.9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-35.3632621</v>
      </c>
      <c r="L117" s="0" t="n">
        <v>149.1652374</v>
      </c>
      <c r="M117" s="0" t="n">
        <v>0</v>
      </c>
      <c r="N117" s="3" t="n">
        <f aca="false">(A117-$A$2)*86400</f>
        <v>120.485999691</v>
      </c>
      <c r="O117" s="3" t="n">
        <f aca="false">D117*0.3048</f>
        <v>3.01752</v>
      </c>
      <c r="P117" s="3" t="n">
        <f aca="false">E117*0.44704</f>
        <v>0</v>
      </c>
      <c r="Q117" s="3" t="n">
        <f aca="false">F117*0.44704</f>
        <v>0</v>
      </c>
    </row>
    <row r="118" customFormat="false" ht="15" hidden="false" customHeight="false" outlineLevel="0" collapsed="false">
      <c r="A118" s="8" t="n">
        <v>46315.892770162</v>
      </c>
      <c r="B118" s="3" t="s">
        <v>170</v>
      </c>
      <c r="C118" s="0" t="n">
        <v>0</v>
      </c>
      <c r="D118" s="0" t="n">
        <v>9.9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-35.3632621</v>
      </c>
      <c r="L118" s="0" t="n">
        <v>149.1652374</v>
      </c>
      <c r="M118" s="0" t="n">
        <v>0</v>
      </c>
      <c r="N118" s="3" t="n">
        <f aca="false">(A118-$A$2)*86400</f>
        <v>121.439998992</v>
      </c>
      <c r="O118" s="3" t="n">
        <f aca="false">D118*0.3048</f>
        <v>3.01752</v>
      </c>
      <c r="P118" s="3" t="n">
        <f aca="false">E118*0.44704</f>
        <v>0</v>
      </c>
      <c r="Q118" s="3" t="n">
        <f aca="false">F118*0.44704</f>
        <v>0</v>
      </c>
    </row>
    <row r="119" customFormat="false" ht="15" hidden="false" customHeight="false" outlineLevel="0" collapsed="false">
      <c r="A119" s="8" t="n">
        <v>46315.8927819792</v>
      </c>
      <c r="B119" s="3" t="s">
        <v>171</v>
      </c>
      <c r="C119" s="0" t="n">
        <v>0</v>
      </c>
      <c r="D119" s="0" t="n">
        <v>10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-35.3632621</v>
      </c>
      <c r="L119" s="0" t="n">
        <v>149.1652374</v>
      </c>
      <c r="M119" s="0" t="n">
        <v>0</v>
      </c>
      <c r="N119" s="3" t="n">
        <f aca="false">(A119-$A$2)*86400</f>
        <v>122.460999037</v>
      </c>
      <c r="O119" s="3" t="n">
        <f aca="false">D119*0.3048</f>
        <v>3.048</v>
      </c>
      <c r="P119" s="3" t="n">
        <f aca="false">E119*0.44704</f>
        <v>0</v>
      </c>
      <c r="Q119" s="3" t="n">
        <f aca="false">F119*0.44704</f>
        <v>0</v>
      </c>
    </row>
    <row r="120" customFormat="false" ht="15" hidden="false" customHeight="false" outlineLevel="0" collapsed="false">
      <c r="A120" s="8" t="n">
        <v>46315.8927934259</v>
      </c>
      <c r="B120" s="3" t="s">
        <v>172</v>
      </c>
      <c r="C120" s="0" t="n">
        <v>0</v>
      </c>
      <c r="D120" s="0" t="n">
        <v>10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-35.3632621</v>
      </c>
      <c r="L120" s="0" t="n">
        <v>149.1652374</v>
      </c>
      <c r="M120" s="0" t="n">
        <v>0</v>
      </c>
      <c r="N120" s="3" t="n">
        <f aca="false">(A120-$A$2)*86400</f>
        <v>123.450000537</v>
      </c>
      <c r="O120" s="3" t="n">
        <f aca="false">D120*0.3048</f>
        <v>3.048</v>
      </c>
      <c r="P120" s="3" t="n">
        <f aca="false">E120*0.44704</f>
        <v>0</v>
      </c>
      <c r="Q120" s="3" t="n">
        <f aca="false">F120*0.44704</f>
        <v>0</v>
      </c>
    </row>
    <row r="121" customFormat="false" ht="15" hidden="false" customHeight="false" outlineLevel="0" collapsed="false">
      <c r="A121" s="8" t="n">
        <v>46315.8928054861</v>
      </c>
      <c r="B121" s="3" t="s">
        <v>173</v>
      </c>
      <c r="C121" s="0" t="n">
        <v>0</v>
      </c>
      <c r="D121" s="0" t="n">
        <v>9.9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-35.3632621</v>
      </c>
      <c r="L121" s="0" t="n">
        <v>149.1652374</v>
      </c>
      <c r="M121" s="0" t="n">
        <v>0</v>
      </c>
      <c r="N121" s="3" t="n">
        <f aca="false">(A121-$A$2)*86400</f>
        <v>124.491999763</v>
      </c>
      <c r="O121" s="3" t="n">
        <f aca="false">D121*0.3048</f>
        <v>3.01752</v>
      </c>
      <c r="P121" s="3" t="n">
        <f aca="false">E121*0.44704</f>
        <v>0</v>
      </c>
      <c r="Q121" s="3" t="n">
        <f aca="false">F121*0.44704</f>
        <v>0</v>
      </c>
    </row>
    <row r="122" customFormat="false" ht="15" hidden="false" customHeight="false" outlineLevel="0" collapsed="false">
      <c r="A122" s="8" t="n">
        <v>46315.8928166435</v>
      </c>
      <c r="B122" s="3" t="s">
        <v>174</v>
      </c>
      <c r="C122" s="0" t="n">
        <v>0</v>
      </c>
      <c r="D122" s="0" t="n">
        <v>9.9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-35.3632621</v>
      </c>
      <c r="L122" s="0" t="n">
        <v>149.1652374</v>
      </c>
      <c r="M122" s="0" t="n">
        <v>0</v>
      </c>
      <c r="N122" s="3" t="n">
        <f aca="false">(A122-$A$2)*86400</f>
        <v>125.456000142</v>
      </c>
      <c r="O122" s="3" t="n">
        <f aca="false">D122*0.3048</f>
        <v>3.01752</v>
      </c>
      <c r="P122" s="3" t="n">
        <f aca="false">E122*0.44704</f>
        <v>0</v>
      </c>
      <c r="Q122" s="3" t="n">
        <f aca="false">F122*0.44704</f>
        <v>0</v>
      </c>
    </row>
    <row r="123" customFormat="false" ht="15" hidden="false" customHeight="false" outlineLevel="0" collapsed="false">
      <c r="A123" s="8" t="n">
        <v>46315.8928284722</v>
      </c>
      <c r="B123" s="3" t="s">
        <v>175</v>
      </c>
      <c r="C123" s="0" t="n">
        <v>0</v>
      </c>
      <c r="D123" s="0" t="n">
        <v>9.9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-35.3632621</v>
      </c>
      <c r="L123" s="0" t="n">
        <v>149.1652374</v>
      </c>
      <c r="M123" s="0" t="n">
        <v>0</v>
      </c>
      <c r="N123" s="3" t="n">
        <f aca="false">(A123-$A$2)*86400</f>
        <v>126.477999729</v>
      </c>
      <c r="O123" s="3" t="n">
        <f aca="false">D123*0.3048</f>
        <v>3.01752</v>
      </c>
      <c r="P123" s="3" t="n">
        <f aca="false">E123*0.44704</f>
        <v>0</v>
      </c>
      <c r="Q123" s="3" t="n">
        <f aca="false">F123*0.44704</f>
        <v>0</v>
      </c>
    </row>
    <row r="124" customFormat="false" ht="15" hidden="false" customHeight="false" outlineLevel="0" collapsed="false">
      <c r="A124" s="8" t="n">
        <v>46315.8928400579</v>
      </c>
      <c r="B124" s="3" t="s">
        <v>176</v>
      </c>
      <c r="C124" s="0" t="n">
        <v>0</v>
      </c>
      <c r="D124" s="0" t="n">
        <v>10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-35.3632621</v>
      </c>
      <c r="L124" s="0" t="n">
        <v>149.1652374</v>
      </c>
      <c r="M124" s="0" t="n">
        <v>0</v>
      </c>
      <c r="N124" s="3" t="n">
        <f aca="false">(A124-$A$2)*86400</f>
        <v>127.479000133</v>
      </c>
      <c r="O124" s="3" t="n">
        <f aca="false">D124*0.3048</f>
        <v>3.048</v>
      </c>
      <c r="P124" s="3" t="n">
        <f aca="false">E124*0.44704</f>
        <v>0</v>
      </c>
      <c r="Q124" s="3" t="n">
        <f aca="false">F124*0.44704</f>
        <v>0</v>
      </c>
    </row>
    <row r="125" customFormat="false" ht="15" hidden="false" customHeight="false" outlineLevel="0" collapsed="false">
      <c r="A125" s="8" t="n">
        <v>46315.8928513426</v>
      </c>
      <c r="B125" s="3" t="s">
        <v>177</v>
      </c>
      <c r="C125" s="0" t="n">
        <v>0</v>
      </c>
      <c r="D125" s="0" t="n">
        <v>10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-35.3632621</v>
      </c>
      <c r="L125" s="0" t="n">
        <v>149.1652374</v>
      </c>
      <c r="M125" s="0" t="n">
        <v>0</v>
      </c>
      <c r="N125" s="3" t="n">
        <f aca="false">(A125-$A$2)*86400</f>
        <v>128.453999874</v>
      </c>
      <c r="O125" s="3" t="n">
        <f aca="false">D125*0.3048</f>
        <v>3.048</v>
      </c>
      <c r="P125" s="3" t="n">
        <f aca="false">E125*0.44704</f>
        <v>0</v>
      </c>
      <c r="Q125" s="3" t="n">
        <f aca="false">F125*0.44704</f>
        <v>0</v>
      </c>
    </row>
    <row r="126" customFormat="false" ht="15" hidden="false" customHeight="false" outlineLevel="0" collapsed="false">
      <c r="A126" s="8" t="n">
        <v>46315.8928629282</v>
      </c>
      <c r="B126" s="3" t="s">
        <v>178</v>
      </c>
      <c r="C126" s="0" t="n">
        <v>0</v>
      </c>
      <c r="D126" s="0" t="n">
        <v>10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-35.3632621</v>
      </c>
      <c r="L126" s="0" t="n">
        <v>149.1652374</v>
      </c>
      <c r="M126" s="0" t="n">
        <v>0</v>
      </c>
      <c r="N126" s="3" t="n">
        <f aca="false">(A126-$A$2)*86400</f>
        <v>129.454999649</v>
      </c>
      <c r="O126" s="3" t="n">
        <f aca="false">D126*0.3048</f>
        <v>3.048</v>
      </c>
      <c r="P126" s="3" t="n">
        <f aca="false">E126*0.44704</f>
        <v>0</v>
      </c>
      <c r="Q126" s="3" t="n">
        <f aca="false">F126*0.44704</f>
        <v>0</v>
      </c>
    </row>
    <row r="127" customFormat="false" ht="15" hidden="false" customHeight="false" outlineLevel="0" collapsed="false">
      <c r="A127" s="8" t="n">
        <v>46315.8928744676</v>
      </c>
      <c r="B127" s="3" t="s">
        <v>179</v>
      </c>
      <c r="C127" s="0" t="n">
        <v>0</v>
      </c>
      <c r="D127" s="0" t="n">
        <v>10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-35.3632621</v>
      </c>
      <c r="L127" s="0" t="n">
        <v>149.1652374</v>
      </c>
      <c r="M127" s="0" t="n">
        <v>0</v>
      </c>
      <c r="N127" s="3" t="n">
        <f aca="false">(A127-$A$2)*86400</f>
        <v>130.451999371</v>
      </c>
      <c r="O127" s="3" t="n">
        <f aca="false">D127*0.3048</f>
        <v>3.048</v>
      </c>
      <c r="P127" s="3" t="n">
        <f aca="false">E127*0.44704</f>
        <v>0</v>
      </c>
      <c r="Q127" s="3" t="n">
        <f aca="false">F127*0.44704</f>
        <v>0</v>
      </c>
    </row>
    <row r="128" customFormat="false" ht="15" hidden="false" customHeight="false" outlineLevel="0" collapsed="false">
      <c r="A128" s="8" t="n">
        <v>46315.8929049884</v>
      </c>
      <c r="B128" s="3" t="s">
        <v>180</v>
      </c>
      <c r="C128" s="0" t="n">
        <v>0</v>
      </c>
      <c r="D128" s="0" t="n">
        <v>10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-35.3632621</v>
      </c>
      <c r="L128" s="0" t="n">
        <v>149.1652374</v>
      </c>
      <c r="M128" s="0" t="n">
        <v>0</v>
      </c>
      <c r="N128" s="3" t="n">
        <f aca="false">(A128-$A$2)*86400</f>
        <v>133.088999125</v>
      </c>
      <c r="O128" s="3" t="n">
        <f aca="false">D128*0.3048</f>
        <v>3.048</v>
      </c>
      <c r="P128" s="3" t="n">
        <f aca="false">E128*0.44704</f>
        <v>0</v>
      </c>
      <c r="Q128" s="3" t="n">
        <f aca="false">F128*0.44704</f>
        <v>0</v>
      </c>
    </row>
    <row r="129" customFormat="false" ht="15" hidden="false" customHeight="false" outlineLevel="0" collapsed="false">
      <c r="A129" s="8" t="n">
        <v>46315.8929157176</v>
      </c>
      <c r="B129" s="3" t="s">
        <v>181</v>
      </c>
      <c r="C129" s="0" t="n">
        <v>0</v>
      </c>
      <c r="D129" s="0" t="n">
        <v>10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-35.3632621</v>
      </c>
      <c r="L129" s="0" t="n">
        <v>149.1652374</v>
      </c>
      <c r="M129" s="0" t="n">
        <v>0</v>
      </c>
      <c r="N129" s="3" t="n">
        <f aca="false">(A129-$A$2)*86400</f>
        <v>134.016000735</v>
      </c>
      <c r="O129" s="3" t="n">
        <f aca="false">D129*0.3048</f>
        <v>3.048</v>
      </c>
      <c r="P129" s="3" t="n">
        <f aca="false">E129*0.44704</f>
        <v>0</v>
      </c>
      <c r="Q129" s="3" t="n">
        <f aca="false">F129*0.44704</f>
        <v>0</v>
      </c>
    </row>
    <row r="130" customFormat="false" ht="15" hidden="false" customHeight="false" outlineLevel="0" collapsed="false">
      <c r="A130" s="8" t="n">
        <v>46315.8929267477</v>
      </c>
      <c r="B130" s="3" t="s">
        <v>181</v>
      </c>
      <c r="C130" s="0" t="n">
        <v>0</v>
      </c>
      <c r="D130" s="0" t="n">
        <v>10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-35.3632621</v>
      </c>
      <c r="L130" s="0" t="n">
        <v>149.1652374</v>
      </c>
      <c r="M130" s="0" t="n">
        <v>0</v>
      </c>
      <c r="N130" s="3" t="n">
        <f aca="false">(A130-$A$2)*86400</f>
        <v>134.969000495</v>
      </c>
      <c r="O130" s="3" t="n">
        <f aca="false">D130*0.3048</f>
        <v>3.048</v>
      </c>
      <c r="P130" s="3" t="n">
        <f aca="false">E130*0.44704</f>
        <v>0</v>
      </c>
      <c r="Q130" s="3" t="n">
        <f aca="false">F130*0.44704</f>
        <v>0</v>
      </c>
    </row>
    <row r="131" customFormat="false" ht="15" hidden="false" customHeight="false" outlineLevel="0" collapsed="false">
      <c r="A131" s="8" t="n">
        <v>46315.8929385417</v>
      </c>
      <c r="B131" s="3" t="s">
        <v>182</v>
      </c>
      <c r="C131" s="0" t="n">
        <v>0</v>
      </c>
      <c r="D131" s="0" t="n">
        <v>9.9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-35.3632621</v>
      </c>
      <c r="L131" s="0" t="n">
        <v>149.1652374</v>
      </c>
      <c r="M131" s="0" t="n">
        <v>0</v>
      </c>
      <c r="N131" s="3" t="n">
        <f aca="false">(A131-$A$2)*86400</f>
        <v>135.987999569</v>
      </c>
      <c r="O131" s="3" t="n">
        <f aca="false">D131*0.3048</f>
        <v>3.01752</v>
      </c>
      <c r="P131" s="3" t="n">
        <f aca="false">E131*0.44704</f>
        <v>0</v>
      </c>
      <c r="Q131" s="3" t="n">
        <f aca="false">F131*0.44704</f>
        <v>0</v>
      </c>
    </row>
    <row r="132" customFormat="false" ht="15" hidden="false" customHeight="false" outlineLevel="0" collapsed="false">
      <c r="A132" s="8" t="n">
        <v>46315.8929503704</v>
      </c>
      <c r="B132" s="3" t="s">
        <v>182</v>
      </c>
      <c r="C132" s="0" t="n">
        <v>0</v>
      </c>
      <c r="D132" s="0" t="n">
        <v>10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-35.3632621</v>
      </c>
      <c r="L132" s="0" t="n">
        <v>149.1652374</v>
      </c>
      <c r="M132" s="0" t="n">
        <v>0</v>
      </c>
      <c r="N132" s="3" t="n">
        <f aca="false">(A132-$A$2)*86400</f>
        <v>137.009999784</v>
      </c>
      <c r="O132" s="3" t="n">
        <f aca="false">D132*0.3048</f>
        <v>3.048</v>
      </c>
      <c r="P132" s="3" t="n">
        <f aca="false">E132*0.44704</f>
        <v>0</v>
      </c>
      <c r="Q132" s="3" t="n">
        <f aca="false">F132*0.44704</f>
        <v>0</v>
      </c>
    </row>
    <row r="133" customFormat="false" ht="15" hidden="false" customHeight="false" outlineLevel="0" collapsed="false">
      <c r="A133" s="8" t="n">
        <v>46315.8929872107</v>
      </c>
      <c r="B133" s="3" t="s">
        <v>183</v>
      </c>
      <c r="C133" s="0" t="n">
        <v>0</v>
      </c>
      <c r="D133" s="0" t="n">
        <v>9.9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-35.3632621</v>
      </c>
      <c r="L133" s="0" t="n">
        <v>149.1652374</v>
      </c>
      <c r="M133" s="0" t="n">
        <v>0</v>
      </c>
      <c r="N133" s="3" t="n">
        <f aca="false">(A133-$A$2)*86400</f>
        <v>140.193000272</v>
      </c>
      <c r="O133" s="3" t="n">
        <f aca="false">D133*0.3048</f>
        <v>3.01752</v>
      </c>
      <c r="P133" s="3" t="n">
        <f aca="false">E133*0.44704</f>
        <v>0</v>
      </c>
      <c r="Q133" s="3" t="n">
        <f aca="false">F133*0.44704</f>
        <v>0</v>
      </c>
    </row>
    <row r="134" customFormat="false" ht="15" hidden="false" customHeight="false" outlineLevel="0" collapsed="false">
      <c r="A134" s="8" t="n">
        <v>46315.892998588</v>
      </c>
      <c r="B134" s="3" t="s">
        <v>184</v>
      </c>
      <c r="C134" s="0" t="n">
        <v>0</v>
      </c>
      <c r="D134" s="0" t="n">
        <v>9.9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-35.3632621</v>
      </c>
      <c r="L134" s="0" t="n">
        <v>149.1652374</v>
      </c>
      <c r="M134" s="0" t="n">
        <v>0</v>
      </c>
      <c r="N134" s="3" t="n">
        <f aca="false">(A134-$A$2)*86400</f>
        <v>141.176000749</v>
      </c>
      <c r="O134" s="3" t="n">
        <f aca="false">D134*0.3048</f>
        <v>3.01752</v>
      </c>
      <c r="P134" s="3" t="n">
        <f aca="false">E134*0.44704</f>
        <v>0</v>
      </c>
      <c r="Q134" s="3" t="n">
        <f aca="false">F134*0.44704</f>
        <v>0</v>
      </c>
    </row>
    <row r="135" customFormat="false" ht="15" hidden="false" customHeight="false" outlineLevel="0" collapsed="false">
      <c r="A135" s="8" t="n">
        <v>46315.8930096412</v>
      </c>
      <c r="B135" s="3" t="s">
        <v>185</v>
      </c>
      <c r="C135" s="0" t="n">
        <v>0</v>
      </c>
      <c r="D135" s="0" t="n">
        <v>10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-35.3632621</v>
      </c>
      <c r="L135" s="0" t="n">
        <v>149.1652374</v>
      </c>
      <c r="M135" s="0" t="n">
        <v>0</v>
      </c>
      <c r="N135" s="3" t="n">
        <f aca="false">(A135-$A$2)*86400</f>
        <v>142.130999593</v>
      </c>
      <c r="O135" s="3" t="n">
        <f aca="false">D135*0.3048</f>
        <v>3.048</v>
      </c>
      <c r="P135" s="3" t="n">
        <f aca="false">E135*0.44704</f>
        <v>0</v>
      </c>
      <c r="Q135" s="3" t="n">
        <f aca="false">F135*0.44704</f>
        <v>0</v>
      </c>
    </row>
    <row r="136" customFormat="false" ht="15" hidden="false" customHeight="false" outlineLevel="0" collapsed="false">
      <c r="A136" s="8" t="n">
        <v>46315.8930203588</v>
      </c>
      <c r="B136" s="3" t="s">
        <v>186</v>
      </c>
      <c r="C136" s="0" t="n">
        <v>0</v>
      </c>
      <c r="D136" s="0" t="n">
        <v>10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-35.3632621</v>
      </c>
      <c r="L136" s="0" t="n">
        <v>149.1652374</v>
      </c>
      <c r="M136" s="0" t="n">
        <v>0</v>
      </c>
      <c r="N136" s="3" t="n">
        <f aca="false">(A136-$A$2)*86400</f>
        <v>143.057000404</v>
      </c>
      <c r="O136" s="3" t="n">
        <f aca="false">D136*0.3048</f>
        <v>3.048</v>
      </c>
      <c r="P136" s="3" t="n">
        <f aca="false">E136*0.44704</f>
        <v>0</v>
      </c>
      <c r="Q136" s="3" t="n">
        <f aca="false">F136*0.44704</f>
        <v>0</v>
      </c>
    </row>
    <row r="137" customFormat="false" ht="15" hidden="false" customHeight="false" outlineLevel="0" collapsed="false">
      <c r="A137" s="8" t="n">
        <v>46315.8930308912</v>
      </c>
      <c r="B137" s="3" t="s">
        <v>187</v>
      </c>
      <c r="C137" s="0" t="n">
        <v>0</v>
      </c>
      <c r="D137" s="0" t="n">
        <v>10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-35.3632621</v>
      </c>
      <c r="L137" s="0" t="n">
        <v>149.1652374</v>
      </c>
      <c r="M137" s="0" t="n">
        <v>0</v>
      </c>
      <c r="N137" s="3" t="n">
        <f aca="false">(A137-$A$2)*86400</f>
        <v>143.966999743</v>
      </c>
      <c r="O137" s="3" t="n">
        <f aca="false">D137*0.3048</f>
        <v>3.048</v>
      </c>
      <c r="P137" s="3" t="n">
        <f aca="false">E137*0.44704</f>
        <v>0</v>
      </c>
      <c r="Q137" s="3" t="n">
        <f aca="false">F137*0.44704</f>
        <v>0</v>
      </c>
    </row>
    <row r="138" customFormat="false" ht="15" hidden="false" customHeight="false" outlineLevel="0" collapsed="false">
      <c r="A138" s="8" t="n">
        <v>46315.893042419</v>
      </c>
      <c r="B138" s="3" t="s">
        <v>187</v>
      </c>
      <c r="C138" s="0" t="n">
        <v>0</v>
      </c>
      <c r="D138" s="0" t="n">
        <v>10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-35.3632621</v>
      </c>
      <c r="L138" s="0" t="n">
        <v>149.1652374</v>
      </c>
      <c r="M138" s="0" t="n">
        <v>0</v>
      </c>
      <c r="N138" s="3" t="n">
        <f aca="false">(A138-$A$2)*86400</f>
        <v>144.962999923</v>
      </c>
      <c r="O138" s="3" t="n">
        <f aca="false">D138*0.3048</f>
        <v>3.048</v>
      </c>
      <c r="P138" s="3" t="n">
        <f aca="false">E138*0.44704</f>
        <v>0</v>
      </c>
      <c r="Q138" s="3" t="n">
        <f aca="false">F138*0.44704</f>
        <v>0</v>
      </c>
    </row>
    <row r="139" customFormat="false" ht="15" hidden="false" customHeight="false" outlineLevel="0" collapsed="false">
      <c r="A139" s="8" t="n">
        <v>46315.8930539815</v>
      </c>
      <c r="B139" s="3" t="s">
        <v>188</v>
      </c>
      <c r="C139" s="0" t="n">
        <v>0</v>
      </c>
      <c r="D139" s="0" t="n">
        <v>9.9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-35.3632621</v>
      </c>
      <c r="L139" s="0" t="n">
        <v>149.1652374</v>
      </c>
      <c r="M139" s="0" t="n">
        <v>0</v>
      </c>
      <c r="N139" s="3" t="n">
        <f aca="false">(A139-$A$2)*86400</f>
        <v>145.961999986</v>
      </c>
      <c r="O139" s="3" t="n">
        <f aca="false">D139*0.3048</f>
        <v>3.01752</v>
      </c>
      <c r="P139" s="3" t="n">
        <f aca="false">E139*0.44704</f>
        <v>0</v>
      </c>
      <c r="Q139" s="3" t="n">
        <f aca="false">F139*0.44704</f>
        <v>0</v>
      </c>
    </row>
    <row r="140" customFormat="false" ht="15" hidden="false" customHeight="false" outlineLevel="0" collapsed="false">
      <c r="A140" s="8" t="n">
        <v>46315.8930662037</v>
      </c>
      <c r="B140" s="3" t="s">
        <v>189</v>
      </c>
      <c r="C140" s="0" t="n">
        <v>0</v>
      </c>
      <c r="D140" s="0" t="n">
        <v>10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-35.3632621</v>
      </c>
      <c r="L140" s="0" t="n">
        <v>149.1652374</v>
      </c>
      <c r="M140" s="0" t="n">
        <v>0</v>
      </c>
      <c r="N140" s="3" t="n">
        <f aca="false">(A140-$A$2)*86400</f>
        <v>147.017999715</v>
      </c>
      <c r="O140" s="3" t="n">
        <f aca="false">D140*0.3048</f>
        <v>3.048</v>
      </c>
      <c r="P140" s="3" t="n">
        <f aca="false">E140*0.44704</f>
        <v>0</v>
      </c>
      <c r="Q140" s="3" t="n">
        <f aca="false">F140*0.44704</f>
        <v>0</v>
      </c>
    </row>
    <row r="141" customFormat="false" ht="15" hidden="false" customHeight="false" outlineLevel="0" collapsed="false">
      <c r="A141" s="8" t="n">
        <v>46315.8931040278</v>
      </c>
      <c r="B141" s="3" t="s">
        <v>190</v>
      </c>
      <c r="C141" s="0" t="n">
        <v>0</v>
      </c>
      <c r="D141" s="0" t="n">
        <v>10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-35.3632621</v>
      </c>
      <c r="L141" s="0" t="n">
        <v>149.1652374</v>
      </c>
      <c r="M141" s="0" t="n">
        <v>0</v>
      </c>
      <c r="N141" s="3" t="n">
        <f aca="false">(A141-$A$2)*86400</f>
        <v>150.285998987</v>
      </c>
      <c r="O141" s="3" t="n">
        <f aca="false">D141*0.3048</f>
        <v>3.048</v>
      </c>
      <c r="P141" s="3" t="n">
        <f aca="false">E141*0.44704</f>
        <v>0</v>
      </c>
      <c r="Q141" s="3" t="n">
        <f aca="false">F141*0.44704</f>
        <v>0</v>
      </c>
    </row>
    <row r="142" customFormat="false" ht="15" hidden="false" customHeight="false" outlineLevel="0" collapsed="false">
      <c r="A142" s="8" t="n">
        <v>46315.8931163542</v>
      </c>
      <c r="B142" s="3" t="s">
        <v>191</v>
      </c>
      <c r="C142" s="0" t="n">
        <v>0</v>
      </c>
      <c r="D142" s="0" t="n">
        <v>9.9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-35.3632621</v>
      </c>
      <c r="L142" s="0" t="n">
        <v>149.1652374</v>
      </c>
      <c r="M142" s="0" t="n">
        <v>0</v>
      </c>
      <c r="N142" s="3" t="n">
        <f aca="false">(A142-$A$2)*86400</f>
        <v>151.350998994</v>
      </c>
      <c r="O142" s="3" t="n">
        <f aca="false">D142*0.3048</f>
        <v>3.01752</v>
      </c>
      <c r="P142" s="3" t="n">
        <f aca="false">E142*0.44704</f>
        <v>0</v>
      </c>
      <c r="Q142" s="3" t="n">
        <f aca="false">F142*0.44704</f>
        <v>0</v>
      </c>
    </row>
    <row r="143" customFormat="false" ht="15" hidden="false" customHeight="false" outlineLevel="0" collapsed="false">
      <c r="A143" s="8" t="n">
        <v>46315.8931283565</v>
      </c>
      <c r="B143" s="3" t="s">
        <v>192</v>
      </c>
      <c r="C143" s="0" t="n">
        <v>0</v>
      </c>
      <c r="D143" s="0" t="n">
        <v>10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-35.3632621</v>
      </c>
      <c r="L143" s="0" t="n">
        <v>149.1652374</v>
      </c>
      <c r="M143" s="0" t="n">
        <v>0</v>
      </c>
      <c r="N143" s="3" t="n">
        <f aca="false">(A143-$A$2)*86400</f>
        <v>152.387999882</v>
      </c>
      <c r="O143" s="3" t="n">
        <f aca="false">D143*0.3048</f>
        <v>3.048</v>
      </c>
      <c r="P143" s="3" t="n">
        <f aca="false">E143*0.44704</f>
        <v>0</v>
      </c>
      <c r="Q143" s="3" t="n">
        <f aca="false">F143*0.44704</f>
        <v>0</v>
      </c>
    </row>
    <row r="144" customFormat="false" ht="15" hidden="false" customHeight="false" outlineLevel="0" collapsed="false">
      <c r="A144" s="8" t="n">
        <v>46315.8931410764</v>
      </c>
      <c r="B144" s="3" t="s">
        <v>193</v>
      </c>
      <c r="C144" s="0" t="n">
        <v>0</v>
      </c>
      <c r="D144" s="0" t="n">
        <v>10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-35.3632621</v>
      </c>
      <c r="L144" s="0" t="n">
        <v>149.1652374</v>
      </c>
      <c r="M144" s="0" t="n">
        <v>0</v>
      </c>
      <c r="N144" s="3" t="n">
        <f aca="false">(A144-$A$2)*86400</f>
        <v>153.487000032</v>
      </c>
      <c r="O144" s="3" t="n">
        <f aca="false">D144*0.3048</f>
        <v>3.048</v>
      </c>
      <c r="P144" s="3" t="n">
        <f aca="false">E144*0.44704</f>
        <v>0</v>
      </c>
      <c r="Q144" s="3" t="n">
        <f aca="false">F144*0.44704</f>
        <v>0</v>
      </c>
    </row>
    <row r="145" customFormat="false" ht="15" hidden="false" customHeight="false" outlineLevel="0" collapsed="false">
      <c r="A145" s="8" t="n">
        <v>46315.8931524421</v>
      </c>
      <c r="B145" s="3" t="s">
        <v>194</v>
      </c>
      <c r="C145" s="0" t="n">
        <v>0</v>
      </c>
      <c r="D145" s="0" t="n">
        <v>10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-35.3632621</v>
      </c>
      <c r="L145" s="0" t="n">
        <v>149.1652374</v>
      </c>
      <c r="M145" s="0" t="n">
        <v>0</v>
      </c>
      <c r="N145" s="3" t="n">
        <f aca="false">(A145-$A$2)*86400</f>
        <v>154.468999709</v>
      </c>
      <c r="O145" s="3" t="n">
        <f aca="false">D145*0.3048</f>
        <v>3.048</v>
      </c>
      <c r="P145" s="3" t="n">
        <f aca="false">E145*0.44704</f>
        <v>0</v>
      </c>
      <c r="Q145" s="3" t="n">
        <f aca="false">F145*0.44704</f>
        <v>0</v>
      </c>
    </row>
    <row r="146" customFormat="false" ht="15" hidden="false" customHeight="false" outlineLevel="0" collapsed="false">
      <c r="A146" s="8" t="n">
        <v>46315.8931638426</v>
      </c>
      <c r="B146" s="3" t="s">
        <v>195</v>
      </c>
      <c r="C146" s="0" t="n">
        <v>0</v>
      </c>
      <c r="D146" s="0" t="n">
        <v>10</v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-35.3632621</v>
      </c>
      <c r="L146" s="0" t="n">
        <v>149.1652374</v>
      </c>
      <c r="M146" s="0" t="n">
        <v>0</v>
      </c>
      <c r="N146" s="3" t="n">
        <f aca="false">(A146-$A$2)*86400</f>
        <v>155.453999899</v>
      </c>
      <c r="O146" s="3" t="n">
        <f aca="false">D146*0.3048</f>
        <v>3.048</v>
      </c>
      <c r="P146" s="3" t="n">
        <f aca="false">E146*0.44704</f>
        <v>0</v>
      </c>
      <c r="Q146" s="3" t="n">
        <f aca="false">F146*0.44704</f>
        <v>0</v>
      </c>
    </row>
    <row r="147" customFormat="false" ht="15" hidden="false" customHeight="false" outlineLevel="0" collapsed="false">
      <c r="A147" s="8" t="n">
        <v>46315.8931753356</v>
      </c>
      <c r="B147" s="3" t="s">
        <v>196</v>
      </c>
      <c r="C147" s="0" t="n">
        <v>0</v>
      </c>
      <c r="D147" s="0" t="n">
        <v>10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-35.3632621</v>
      </c>
      <c r="L147" s="0" t="n">
        <v>149.1652374</v>
      </c>
      <c r="M147" s="0" t="n">
        <v>0</v>
      </c>
      <c r="N147" s="3" t="n">
        <f aca="false">(A147-$A$2)*86400</f>
        <v>156.446998938</v>
      </c>
      <c r="O147" s="3" t="n">
        <f aca="false">D147*0.3048</f>
        <v>3.048</v>
      </c>
      <c r="P147" s="3" t="n">
        <f aca="false">E147*0.44704</f>
        <v>0</v>
      </c>
      <c r="Q147" s="3" t="n">
        <f aca="false">F147*0.44704</f>
        <v>0</v>
      </c>
    </row>
    <row r="148" customFormat="false" ht="15" hidden="false" customHeight="false" outlineLevel="0" collapsed="false">
      <c r="A148" s="8" t="n">
        <v>46315.8931871528</v>
      </c>
      <c r="B148" s="3" t="s">
        <v>197</v>
      </c>
      <c r="C148" s="0" t="n">
        <v>0</v>
      </c>
      <c r="D148" s="0" t="n">
        <v>9.9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-35.3632621</v>
      </c>
      <c r="L148" s="0" t="n">
        <v>149.1652374</v>
      </c>
      <c r="M148" s="0" t="n">
        <v>0</v>
      </c>
      <c r="N148" s="3" t="n">
        <f aca="false">(A148-$A$2)*86400</f>
        <v>157.467998983</v>
      </c>
      <c r="O148" s="3" t="n">
        <f aca="false">D148*0.3048</f>
        <v>3.01752</v>
      </c>
      <c r="P148" s="3" t="n">
        <f aca="false">E148*0.44704</f>
        <v>0</v>
      </c>
      <c r="Q148" s="3" t="n">
        <f aca="false">F148*0.44704</f>
        <v>0</v>
      </c>
    </row>
    <row r="149" customFormat="false" ht="15" hidden="false" customHeight="false" outlineLevel="0" collapsed="false">
      <c r="A149" s="8" t="n">
        <v>46315.8931986574</v>
      </c>
      <c r="B149" s="3" t="s">
        <v>198</v>
      </c>
      <c r="C149" s="0" t="n">
        <v>0</v>
      </c>
      <c r="D149" s="0" t="n">
        <v>10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-35.3632621</v>
      </c>
      <c r="L149" s="0" t="n">
        <v>149.1652374</v>
      </c>
      <c r="M149" s="0" t="n">
        <v>0</v>
      </c>
      <c r="N149" s="3" t="n">
        <f aca="false">(A149-$A$2)*86400</f>
        <v>158.462000079</v>
      </c>
      <c r="O149" s="3" t="n">
        <f aca="false">D149*0.3048</f>
        <v>3.048</v>
      </c>
      <c r="P149" s="3" t="n">
        <f aca="false">E149*0.44704</f>
        <v>0</v>
      </c>
      <c r="Q149" s="3" t="n">
        <f aca="false">F149*0.44704</f>
        <v>0</v>
      </c>
    </row>
    <row r="150" customFormat="false" ht="15" hidden="false" customHeight="false" outlineLevel="0" collapsed="false">
      <c r="A150" s="8" t="n">
        <v>46315.8932102894</v>
      </c>
      <c r="B150" s="3" t="s">
        <v>199</v>
      </c>
      <c r="C150" s="0" t="n">
        <v>0</v>
      </c>
      <c r="D150" s="0" t="n">
        <v>10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-35.3632621</v>
      </c>
      <c r="L150" s="0" t="n">
        <v>149.1652374</v>
      </c>
      <c r="M150" s="0" t="n">
        <v>0</v>
      </c>
      <c r="N150" s="3" t="n">
        <f aca="false">(A150-$A$2)*86400</f>
        <v>159.466999908</v>
      </c>
      <c r="O150" s="3" t="n">
        <f aca="false">D150*0.3048</f>
        <v>3.048</v>
      </c>
      <c r="P150" s="3" t="n">
        <f aca="false">E150*0.44704</f>
        <v>0</v>
      </c>
      <c r="Q150" s="3" t="n">
        <f aca="false">F150*0.44704</f>
        <v>0</v>
      </c>
    </row>
    <row r="151" customFormat="false" ht="15" hidden="false" customHeight="false" outlineLevel="0" collapsed="false">
      <c r="A151" s="8" t="n">
        <v>46315.8932220486</v>
      </c>
      <c r="B151" s="3" t="s">
        <v>200</v>
      </c>
      <c r="C151" s="0" t="n">
        <v>0</v>
      </c>
      <c r="D151" s="0" t="n">
        <v>10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-35.3632621</v>
      </c>
      <c r="L151" s="0" t="n">
        <v>149.1652374</v>
      </c>
      <c r="M151" s="0" t="n">
        <v>0</v>
      </c>
      <c r="N151" s="3" t="n">
        <f aca="false">(A151-$A$2)*86400</f>
        <v>160.482999728</v>
      </c>
      <c r="O151" s="3" t="n">
        <f aca="false">D151*0.3048</f>
        <v>3.048</v>
      </c>
      <c r="P151" s="3" t="n">
        <f aca="false">E151*0.44704</f>
        <v>0</v>
      </c>
      <c r="Q151" s="3" t="n">
        <f aca="false">F151*0.44704</f>
        <v>0</v>
      </c>
    </row>
    <row r="152" customFormat="false" ht="15" hidden="false" customHeight="false" outlineLevel="0" collapsed="false">
      <c r="A152" s="8" t="n">
        <v>46315.8932333102</v>
      </c>
      <c r="B152" s="3" t="s">
        <v>201</v>
      </c>
      <c r="C152" s="0" t="n">
        <v>0</v>
      </c>
      <c r="D152" s="0" t="n">
        <v>10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-35.3632621</v>
      </c>
      <c r="L152" s="0" t="n">
        <v>149.1652374</v>
      </c>
      <c r="M152" s="0" t="n">
        <v>0</v>
      </c>
      <c r="N152" s="3" t="n">
        <f aca="false">(A152-$A$2)*86400</f>
        <v>161.455999128</v>
      </c>
      <c r="O152" s="3" t="n">
        <f aca="false">D152*0.3048</f>
        <v>3.048</v>
      </c>
      <c r="P152" s="3" t="n">
        <f aca="false">E152*0.44704</f>
        <v>0</v>
      </c>
      <c r="Q152" s="3" t="n">
        <f aca="false">F152*0.44704</f>
        <v>0</v>
      </c>
    </row>
    <row r="153" customFormat="false" ht="15" hidden="false" customHeight="false" outlineLevel="0" collapsed="false">
      <c r="A153" s="8" t="n">
        <v>46315.8932449884</v>
      </c>
      <c r="B153" s="3" t="s">
        <v>202</v>
      </c>
      <c r="C153" s="0" t="n">
        <v>0</v>
      </c>
      <c r="D153" s="0" t="n">
        <v>10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-35.3632621</v>
      </c>
      <c r="L153" s="0" t="n">
        <v>149.1652374</v>
      </c>
      <c r="M153" s="0" t="n">
        <v>0</v>
      </c>
      <c r="N153" s="3" t="n">
        <f aca="false">(A153-$A$2)*86400</f>
        <v>162.46499964</v>
      </c>
      <c r="O153" s="3" t="n">
        <f aca="false">D153*0.3048</f>
        <v>3.048</v>
      </c>
      <c r="P153" s="3" t="n">
        <f aca="false">E153*0.44704</f>
        <v>0</v>
      </c>
      <c r="Q153" s="3" t="n">
        <f aca="false">F153*0.44704</f>
        <v>0</v>
      </c>
    </row>
    <row r="154" customFormat="false" ht="15" hidden="false" customHeight="false" outlineLevel="0" collapsed="false">
      <c r="A154" s="8" t="n">
        <v>46315.8932563773</v>
      </c>
      <c r="B154" s="3" t="s">
        <v>203</v>
      </c>
      <c r="C154" s="0" t="n">
        <v>0</v>
      </c>
      <c r="D154" s="0" t="n">
        <v>9.9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-35.3632621</v>
      </c>
      <c r="L154" s="0" t="n">
        <v>149.1652374</v>
      </c>
      <c r="M154" s="0" t="n">
        <v>0</v>
      </c>
      <c r="N154" s="3" t="n">
        <f aca="false">(A154-$A$2)*86400</f>
        <v>163.448999659</v>
      </c>
      <c r="O154" s="3" t="n">
        <f aca="false">D154*0.3048</f>
        <v>3.01752</v>
      </c>
      <c r="P154" s="3" t="n">
        <f aca="false">E154*0.44704</f>
        <v>0</v>
      </c>
      <c r="Q154" s="3" t="n">
        <f aca="false">F154*0.44704</f>
        <v>0</v>
      </c>
    </row>
    <row r="155" customFormat="false" ht="15" hidden="false" customHeight="false" outlineLevel="0" collapsed="false">
      <c r="A155" s="8" t="n">
        <v>46315.893267963</v>
      </c>
      <c r="B155" s="3" t="s">
        <v>204</v>
      </c>
      <c r="C155" s="0" t="n">
        <v>0</v>
      </c>
      <c r="D155" s="0" t="n">
        <v>9.9</v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-35.3632621</v>
      </c>
      <c r="L155" s="0" t="n">
        <v>149.1652374</v>
      </c>
      <c r="M155" s="0" t="n">
        <v>0</v>
      </c>
      <c r="N155" s="3" t="n">
        <f aca="false">(A155-$A$2)*86400</f>
        <v>164.450000692</v>
      </c>
      <c r="O155" s="3" t="n">
        <f aca="false">D155*0.3048</f>
        <v>3.01752</v>
      </c>
      <c r="P155" s="3" t="n">
        <f aca="false">E155*0.44704</f>
        <v>0</v>
      </c>
      <c r="Q155" s="3" t="n">
        <f aca="false">F155*0.44704</f>
        <v>0</v>
      </c>
    </row>
    <row r="156" customFormat="false" ht="15" hidden="false" customHeight="false" outlineLevel="0" collapsed="false">
      <c r="A156" s="8" t="n">
        <v>46315.8932796181</v>
      </c>
      <c r="B156" s="3" t="s">
        <v>205</v>
      </c>
      <c r="C156" s="0" t="n">
        <v>0</v>
      </c>
      <c r="D156" s="0" t="n">
        <v>10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-35.3632621</v>
      </c>
      <c r="L156" s="0" t="n">
        <v>149.1652374</v>
      </c>
      <c r="M156" s="0" t="n">
        <v>0</v>
      </c>
      <c r="N156" s="3" t="n">
        <f aca="false">(A156-$A$2)*86400</f>
        <v>165.456999605</v>
      </c>
      <c r="O156" s="3" t="n">
        <f aca="false">D156*0.3048</f>
        <v>3.048</v>
      </c>
      <c r="P156" s="3" t="n">
        <f aca="false">E156*0.44704</f>
        <v>0</v>
      </c>
      <c r="Q156" s="3" t="n">
        <f aca="false">F156*0.44704</f>
        <v>0</v>
      </c>
    </row>
    <row r="157" customFormat="false" ht="15" hidden="false" customHeight="false" outlineLevel="0" collapsed="false">
      <c r="A157" s="8" t="n">
        <v>46315.8932914468</v>
      </c>
      <c r="B157" s="3" t="s">
        <v>206</v>
      </c>
      <c r="C157" s="0" t="n">
        <v>0</v>
      </c>
      <c r="D157" s="0" t="n">
        <v>10</v>
      </c>
      <c r="E157" s="0" t="n">
        <v>0</v>
      </c>
      <c r="F157" s="0" t="n">
        <v>0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-35.3632621</v>
      </c>
      <c r="L157" s="0" t="n">
        <v>149.1652374</v>
      </c>
      <c r="M157" s="0" t="n">
        <v>0</v>
      </c>
      <c r="N157" s="3" t="n">
        <f aca="false">(A157-$A$2)*86400</f>
        <v>166.47899982</v>
      </c>
      <c r="O157" s="3" t="n">
        <f aca="false">D157*0.3048</f>
        <v>3.048</v>
      </c>
      <c r="P157" s="3" t="n">
        <f aca="false">E157*0.44704</f>
        <v>0</v>
      </c>
      <c r="Q157" s="3" t="n">
        <f aca="false">F157*0.44704</f>
        <v>0</v>
      </c>
    </row>
    <row r="158" customFormat="false" ht="15" hidden="false" customHeight="false" outlineLevel="0" collapsed="false">
      <c r="A158" s="8" t="n">
        <v>46315.8933037153</v>
      </c>
      <c r="B158" s="3" t="s">
        <v>207</v>
      </c>
      <c r="C158" s="0" t="n">
        <v>0</v>
      </c>
      <c r="D158" s="0" t="n">
        <v>10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-35.3632621</v>
      </c>
      <c r="L158" s="0" t="n">
        <v>149.1652374</v>
      </c>
      <c r="M158" s="0" t="n">
        <v>0</v>
      </c>
      <c r="N158" s="3" t="n">
        <f aca="false">(A158-$A$2)*86400</f>
        <v>167.538998974</v>
      </c>
      <c r="O158" s="3" t="n">
        <f aca="false">D158*0.3048</f>
        <v>3.048</v>
      </c>
      <c r="P158" s="3" t="n">
        <f aca="false">E158*0.44704</f>
        <v>0</v>
      </c>
      <c r="Q158" s="3" t="n">
        <f aca="false">F158*0.44704</f>
        <v>0</v>
      </c>
    </row>
    <row r="159" customFormat="false" ht="15" hidden="false" customHeight="false" outlineLevel="0" collapsed="false">
      <c r="A159" s="8" t="n">
        <v>46315.8933142593</v>
      </c>
      <c r="B159" s="3" t="s">
        <v>208</v>
      </c>
      <c r="C159" s="0" t="n">
        <v>0</v>
      </c>
      <c r="D159" s="0" t="n">
        <v>10</v>
      </c>
      <c r="E159" s="0" t="n">
        <v>0</v>
      </c>
      <c r="F159" s="0" t="n">
        <v>0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-35.3632621</v>
      </c>
      <c r="L159" s="0" t="n">
        <v>149.1652374</v>
      </c>
      <c r="M159" s="0" t="n">
        <v>0</v>
      </c>
      <c r="N159" s="3" t="n">
        <f aca="false">(A159-$A$2)*86400</f>
        <v>168.449999741</v>
      </c>
      <c r="O159" s="3" t="n">
        <f aca="false">D159*0.3048</f>
        <v>3.048</v>
      </c>
      <c r="P159" s="3" t="n">
        <f aca="false">E159*0.44704</f>
        <v>0</v>
      </c>
      <c r="Q159" s="3" t="n">
        <f aca="false">F159*0.44704</f>
        <v>0</v>
      </c>
    </row>
    <row r="160" customFormat="false" ht="15" hidden="false" customHeight="false" outlineLevel="0" collapsed="false">
      <c r="A160" s="8" t="n">
        <v>46315.8933258912</v>
      </c>
      <c r="B160" s="3" t="s">
        <v>209</v>
      </c>
      <c r="C160" s="0" t="n">
        <v>0</v>
      </c>
      <c r="D160" s="0" t="n">
        <v>10</v>
      </c>
      <c r="E160" s="0" t="n">
        <v>0</v>
      </c>
      <c r="F160" s="0" t="n">
        <v>0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-35.3632621</v>
      </c>
      <c r="L160" s="0" t="n">
        <v>149.1652374</v>
      </c>
      <c r="M160" s="0" t="n">
        <v>0</v>
      </c>
      <c r="N160" s="3" t="n">
        <f aca="false">(A160-$A$2)*86400</f>
        <v>169.45499957</v>
      </c>
      <c r="O160" s="3" t="n">
        <f aca="false">D160*0.3048</f>
        <v>3.048</v>
      </c>
      <c r="P160" s="3" t="n">
        <f aca="false">E160*0.44704</f>
        <v>0</v>
      </c>
      <c r="Q160" s="3" t="n">
        <f aca="false">F160*0.44704</f>
        <v>0</v>
      </c>
    </row>
    <row r="161" customFormat="false" ht="15" hidden="false" customHeight="false" outlineLevel="0" collapsed="false">
      <c r="A161" s="8" t="n">
        <v>46315.8933376389</v>
      </c>
      <c r="B161" s="3" t="s">
        <v>210</v>
      </c>
      <c r="C161" s="0" t="n">
        <v>1</v>
      </c>
      <c r="D161" s="0" t="n">
        <v>9.9</v>
      </c>
      <c r="E161" s="0" t="n">
        <v>0</v>
      </c>
      <c r="F161" s="0" t="n">
        <v>0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-35.3632621</v>
      </c>
      <c r="L161" s="0" t="n">
        <v>149.1652374</v>
      </c>
      <c r="M161" s="0" t="n">
        <v>0</v>
      </c>
      <c r="N161" s="3" t="n">
        <f aca="false">(A161-$A$2)*86400</f>
        <v>170.469999848</v>
      </c>
      <c r="O161" s="3" t="n">
        <f aca="false">D161*0.3048</f>
        <v>3.01752</v>
      </c>
      <c r="P161" s="3" t="n">
        <f aca="false">E161*0.44704</f>
        <v>0</v>
      </c>
      <c r="Q161" s="3" t="n">
        <f aca="false">F161*0.44704</f>
        <v>0</v>
      </c>
    </row>
    <row r="162" customFormat="false" ht="15" hidden="false" customHeight="false" outlineLevel="0" collapsed="false">
      <c r="A162" s="8" t="n">
        <v>46315.8933495833</v>
      </c>
      <c r="B162" s="3" t="s">
        <v>211</v>
      </c>
      <c r="C162" s="0" t="n">
        <v>1</v>
      </c>
      <c r="D162" s="0" t="n">
        <v>10</v>
      </c>
      <c r="E162" s="0" t="n">
        <v>0</v>
      </c>
      <c r="F162" s="0" t="n">
        <v>0</v>
      </c>
      <c r="G162" s="0" t="n">
        <v>0.3</v>
      </c>
      <c r="H162" s="0" t="n">
        <v>0</v>
      </c>
      <c r="I162" s="0" t="n">
        <v>0</v>
      </c>
      <c r="J162" s="0" t="n">
        <v>0</v>
      </c>
      <c r="K162" s="0" t="n">
        <v>-35.3632621</v>
      </c>
      <c r="L162" s="0" t="n">
        <v>149.1652374</v>
      </c>
      <c r="M162" s="0" t="n">
        <v>0</v>
      </c>
      <c r="N162" s="3" t="n">
        <f aca="false">(A162-$A$2)*86400</f>
        <v>171.501999883</v>
      </c>
      <c r="O162" s="3" t="n">
        <f aca="false">D162*0.3048</f>
        <v>3.048</v>
      </c>
      <c r="P162" s="3" t="n">
        <f aca="false">E162*0.44704</f>
        <v>0</v>
      </c>
      <c r="Q162" s="3" t="n">
        <f aca="false">F162*0.44704</f>
        <v>0</v>
      </c>
    </row>
    <row r="163" customFormat="false" ht="15" hidden="false" customHeight="false" outlineLevel="0" collapsed="false">
      <c r="A163" s="8" t="n">
        <v>46315.8933607639</v>
      </c>
      <c r="B163" s="3" t="s">
        <v>212</v>
      </c>
      <c r="C163" s="0" t="n">
        <v>1</v>
      </c>
      <c r="D163" s="0" t="n">
        <v>10</v>
      </c>
      <c r="E163" s="0" t="n">
        <v>0</v>
      </c>
      <c r="F163" s="0" t="n">
        <v>0</v>
      </c>
      <c r="G163" s="0" t="n">
        <v>0.3</v>
      </c>
      <c r="H163" s="0" t="n">
        <v>0</v>
      </c>
      <c r="I163" s="0" t="n">
        <v>0</v>
      </c>
      <c r="J163" s="0" t="n">
        <v>0</v>
      </c>
      <c r="K163" s="0" t="n">
        <v>-35.3632621</v>
      </c>
      <c r="L163" s="0" t="n">
        <v>149.1652374</v>
      </c>
      <c r="M163" s="0" t="n">
        <v>0</v>
      </c>
      <c r="N163" s="3" t="n">
        <f aca="false">(A163-$A$2)*86400</f>
        <v>172.467999975</v>
      </c>
      <c r="O163" s="3" t="n">
        <f aca="false">D163*0.3048</f>
        <v>3.048</v>
      </c>
      <c r="P163" s="3" t="n">
        <f aca="false">E163*0.44704</f>
        <v>0</v>
      </c>
      <c r="Q163" s="3" t="n">
        <f aca="false">F163*0.44704</f>
        <v>0</v>
      </c>
    </row>
    <row r="164" customFormat="false" ht="15" hidden="false" customHeight="false" outlineLevel="0" collapsed="false">
      <c r="A164" s="8" t="n">
        <v>46315.8933723727</v>
      </c>
      <c r="B164" s="3" t="s">
        <v>213</v>
      </c>
      <c r="C164" s="0" t="n">
        <v>1</v>
      </c>
      <c r="D164" s="0" t="n">
        <v>10.2</v>
      </c>
      <c r="E164" s="0" t="n">
        <v>0</v>
      </c>
      <c r="F164" s="0" t="n">
        <v>0</v>
      </c>
      <c r="G164" s="0" t="n">
        <v>0.8</v>
      </c>
      <c r="H164" s="0" t="n">
        <v>0</v>
      </c>
      <c r="I164" s="0" t="n">
        <v>0</v>
      </c>
      <c r="J164" s="0" t="n">
        <v>0</v>
      </c>
      <c r="K164" s="0" t="n">
        <v>-35.3632621</v>
      </c>
      <c r="L164" s="0" t="n">
        <v>149.1652374</v>
      </c>
      <c r="M164" s="0" t="n">
        <v>0</v>
      </c>
      <c r="N164" s="3" t="n">
        <f aca="false">(A164-$A$2)*86400</f>
        <v>173.471000092</v>
      </c>
      <c r="O164" s="3" t="n">
        <f aca="false">D164*0.3048</f>
        <v>3.10896</v>
      </c>
      <c r="P164" s="3" t="n">
        <f aca="false">E164*0.44704</f>
        <v>0</v>
      </c>
      <c r="Q164" s="3" t="n">
        <f aca="false">F164*0.44704</f>
        <v>0</v>
      </c>
    </row>
    <row r="165" customFormat="false" ht="15" hidden="false" customHeight="false" outlineLevel="0" collapsed="false">
      <c r="A165" s="8" t="n">
        <v>46315.8934111227</v>
      </c>
      <c r="B165" s="3" t="s">
        <v>214</v>
      </c>
      <c r="C165" s="0" t="n">
        <v>1</v>
      </c>
      <c r="D165" s="0" t="n">
        <v>12.1</v>
      </c>
      <c r="E165" s="0" t="n">
        <v>0</v>
      </c>
      <c r="F165" s="0" t="n">
        <v>0</v>
      </c>
      <c r="G165" s="0" t="n">
        <v>2.6</v>
      </c>
      <c r="H165" s="0" t="n">
        <v>0</v>
      </c>
      <c r="I165" s="0" t="n">
        <v>0</v>
      </c>
      <c r="J165" s="0" t="n">
        <v>0</v>
      </c>
      <c r="K165" s="0" t="n">
        <v>-35.3632621</v>
      </c>
      <c r="L165" s="0" t="n">
        <v>149.1652374</v>
      </c>
      <c r="M165" s="0" t="n">
        <v>0</v>
      </c>
      <c r="N165" s="3" t="n">
        <f aca="false">(A165-$A$2)*86400</f>
        <v>176.818999182</v>
      </c>
      <c r="O165" s="3" t="n">
        <f aca="false">D165*0.3048</f>
        <v>3.68808</v>
      </c>
      <c r="P165" s="3" t="n">
        <f aca="false">E165*0.44704</f>
        <v>0</v>
      </c>
      <c r="Q165" s="3" t="n">
        <f aca="false">F165*0.44704</f>
        <v>0</v>
      </c>
    </row>
    <row r="166" customFormat="false" ht="15" hidden="false" customHeight="false" outlineLevel="0" collapsed="false">
      <c r="A166" s="8" t="n">
        <v>46315.8934254051</v>
      </c>
      <c r="B166" s="3" t="s">
        <v>215</v>
      </c>
      <c r="C166" s="0" t="n">
        <v>1</v>
      </c>
      <c r="D166" s="0" t="n">
        <v>13.2</v>
      </c>
      <c r="E166" s="0" t="n">
        <v>0</v>
      </c>
      <c r="F166" s="0" t="n">
        <v>0</v>
      </c>
      <c r="G166" s="0" t="n">
        <v>3.2</v>
      </c>
      <c r="H166" s="0" t="n">
        <v>0</v>
      </c>
      <c r="I166" s="0" t="n">
        <v>0</v>
      </c>
      <c r="J166" s="0" t="n">
        <v>0</v>
      </c>
      <c r="K166" s="0" t="n">
        <v>-35.3632621</v>
      </c>
      <c r="L166" s="0" t="n">
        <v>149.1652374</v>
      </c>
      <c r="M166" s="0" t="n">
        <v>0</v>
      </c>
      <c r="N166" s="3" t="n">
        <f aca="false">(A166-$A$2)*86400</f>
        <v>178.052999731</v>
      </c>
      <c r="O166" s="3" t="n">
        <f aca="false">D166*0.3048</f>
        <v>4.02336</v>
      </c>
      <c r="P166" s="3" t="n">
        <f aca="false">E166*0.44704</f>
        <v>0</v>
      </c>
      <c r="Q166" s="3" t="n">
        <f aca="false">F166*0.44704</f>
        <v>0</v>
      </c>
    </row>
    <row r="167" customFormat="false" ht="15" hidden="false" customHeight="false" outlineLevel="0" collapsed="false">
      <c r="A167" s="8" t="n">
        <v>46315.8934362037</v>
      </c>
      <c r="B167" s="3" t="s">
        <v>216</v>
      </c>
      <c r="C167" s="0" t="n">
        <v>1</v>
      </c>
      <c r="D167" s="0" t="n">
        <v>13.2</v>
      </c>
      <c r="E167" s="0" t="n">
        <v>0</v>
      </c>
      <c r="F167" s="0" t="n">
        <v>0</v>
      </c>
      <c r="G167" s="0" t="n">
        <v>3.2</v>
      </c>
      <c r="H167" s="0" t="n">
        <v>0</v>
      </c>
      <c r="I167" s="0" t="n">
        <v>0</v>
      </c>
      <c r="J167" s="0" t="n">
        <v>0</v>
      </c>
      <c r="K167" s="0" t="n">
        <v>-35.3632621</v>
      </c>
      <c r="L167" s="0" t="n">
        <v>149.1652374</v>
      </c>
      <c r="M167" s="0" t="n">
        <v>0</v>
      </c>
      <c r="N167" s="3" t="n">
        <f aca="false">(A167-$A$2)*86400</f>
        <v>178.98599985</v>
      </c>
      <c r="O167" s="3" t="n">
        <f aca="false">D167*0.3048</f>
        <v>4.02336</v>
      </c>
      <c r="P167" s="3" t="n">
        <f aca="false">E167*0.44704</f>
        <v>0</v>
      </c>
      <c r="Q167" s="3" t="n">
        <f aca="false">F167*0.44704</f>
        <v>0</v>
      </c>
    </row>
    <row r="168" customFormat="false" ht="15" hidden="false" customHeight="false" outlineLevel="0" collapsed="false">
      <c r="A168" s="8" t="n">
        <v>46315.8934477083</v>
      </c>
      <c r="B168" s="3" t="s">
        <v>217</v>
      </c>
      <c r="C168" s="0" t="n">
        <v>1</v>
      </c>
      <c r="D168" s="0" t="n">
        <v>14.4</v>
      </c>
      <c r="E168" s="0" t="n">
        <v>0</v>
      </c>
      <c r="F168" s="0" t="n">
        <v>0</v>
      </c>
      <c r="G168" s="0" t="n">
        <v>3.8</v>
      </c>
      <c r="H168" s="0" t="n">
        <v>0</v>
      </c>
      <c r="I168" s="0" t="n">
        <v>0</v>
      </c>
      <c r="J168" s="0" t="n">
        <v>0</v>
      </c>
      <c r="K168" s="0" t="n">
        <v>-35.3632621</v>
      </c>
      <c r="L168" s="0" t="n">
        <v>149.1652374</v>
      </c>
      <c r="M168" s="0" t="n">
        <v>0</v>
      </c>
      <c r="N168" s="3" t="n">
        <f aca="false">(A168-$A$2)*86400</f>
        <v>179.979999689</v>
      </c>
      <c r="O168" s="3" t="n">
        <f aca="false">D168*0.3048</f>
        <v>4.38912</v>
      </c>
      <c r="P168" s="3" t="n">
        <f aca="false">E168*0.44704</f>
        <v>0</v>
      </c>
      <c r="Q168" s="3" t="n">
        <f aca="false">F168*0.44704</f>
        <v>0</v>
      </c>
    </row>
    <row r="169" customFormat="false" ht="15" hidden="false" customHeight="false" outlineLevel="0" collapsed="false">
      <c r="A169" s="8" t="n">
        <v>46315.8934592245</v>
      </c>
      <c r="B169" s="3" t="s">
        <v>218</v>
      </c>
      <c r="C169" s="0" t="n">
        <v>1</v>
      </c>
      <c r="D169" s="0" t="n">
        <v>15.9</v>
      </c>
      <c r="E169" s="0" t="n">
        <v>0</v>
      </c>
      <c r="F169" s="0" t="n">
        <v>0</v>
      </c>
      <c r="G169" s="0" t="n">
        <v>4.4</v>
      </c>
      <c r="H169" s="0" t="n">
        <v>0</v>
      </c>
      <c r="I169" s="0" t="n">
        <v>0</v>
      </c>
      <c r="J169" s="0" t="n">
        <v>0</v>
      </c>
      <c r="K169" s="0" t="n">
        <v>-35.3632621</v>
      </c>
      <c r="L169" s="0" t="n">
        <v>149.1652374</v>
      </c>
      <c r="M169" s="0" t="n">
        <v>0</v>
      </c>
      <c r="N169" s="3" t="n">
        <f aca="false">(A169-$A$2)*86400</f>
        <v>180.975000327</v>
      </c>
      <c r="O169" s="3" t="n">
        <f aca="false">D169*0.3048</f>
        <v>4.84632</v>
      </c>
      <c r="P169" s="3" t="n">
        <f aca="false">E169*0.44704</f>
        <v>0</v>
      </c>
      <c r="Q169" s="3" t="n">
        <f aca="false">F169*0.44704</f>
        <v>0</v>
      </c>
    </row>
    <row r="170" customFormat="false" ht="15" hidden="false" customHeight="false" outlineLevel="0" collapsed="false">
      <c r="A170" s="8" t="n">
        <v>46315.8934706597</v>
      </c>
      <c r="B170" s="3" t="s">
        <v>219</v>
      </c>
      <c r="C170" s="0" t="n">
        <v>1</v>
      </c>
      <c r="D170" s="0" t="n">
        <v>17.6</v>
      </c>
      <c r="E170" s="0" t="n">
        <v>0</v>
      </c>
      <c r="F170" s="0" t="n">
        <v>0</v>
      </c>
      <c r="G170" s="0" t="n">
        <v>4.9</v>
      </c>
      <c r="H170" s="0" t="n">
        <v>0</v>
      </c>
      <c r="I170" s="0" t="n">
        <v>0</v>
      </c>
      <c r="J170" s="0" t="n">
        <v>0</v>
      </c>
      <c r="K170" s="0" t="n">
        <v>-35.3632621</v>
      </c>
      <c r="L170" s="0" t="n">
        <v>149.1652374</v>
      </c>
      <c r="M170" s="0" t="n">
        <v>0</v>
      </c>
      <c r="N170" s="3" t="n">
        <f aca="false">(A170-$A$2)*86400</f>
        <v>181.962999771</v>
      </c>
      <c r="O170" s="3" t="n">
        <f aca="false">D170*0.3048</f>
        <v>5.36448</v>
      </c>
      <c r="P170" s="3" t="n">
        <f aca="false">E170*0.44704</f>
        <v>0</v>
      </c>
      <c r="Q170" s="3" t="n">
        <f aca="false">F170*0.44704</f>
        <v>0</v>
      </c>
    </row>
    <row r="171" customFormat="false" ht="15" hidden="false" customHeight="false" outlineLevel="0" collapsed="false">
      <c r="A171" s="8" t="n">
        <v>46315.8934820833</v>
      </c>
      <c r="B171" s="3" t="s">
        <v>220</v>
      </c>
      <c r="C171" s="0" t="n">
        <v>1</v>
      </c>
      <c r="D171" s="0" t="n">
        <v>19.5</v>
      </c>
      <c r="E171" s="0" t="n">
        <v>0</v>
      </c>
      <c r="F171" s="0" t="n">
        <v>0</v>
      </c>
      <c r="G171" s="0" t="n">
        <v>5.4</v>
      </c>
      <c r="H171" s="0" t="n">
        <v>0</v>
      </c>
      <c r="I171" s="0" t="n">
        <v>0</v>
      </c>
      <c r="J171" s="0" t="n">
        <v>0</v>
      </c>
      <c r="K171" s="0" t="n">
        <v>-35.3632621</v>
      </c>
      <c r="L171" s="0" t="n">
        <v>149.1652374</v>
      </c>
      <c r="M171" s="0" t="n">
        <v>0</v>
      </c>
      <c r="N171" s="3" t="n">
        <f aca="false">(A171-$A$2)*86400</f>
        <v>182.949999673</v>
      </c>
      <c r="O171" s="3" t="n">
        <f aca="false">D171*0.3048</f>
        <v>5.9436</v>
      </c>
      <c r="P171" s="3" t="n">
        <f aca="false">E171*0.44704</f>
        <v>0</v>
      </c>
      <c r="Q171" s="3" t="n">
        <f aca="false">F171*0.44704</f>
        <v>0</v>
      </c>
    </row>
    <row r="172" customFormat="false" ht="15" hidden="false" customHeight="false" outlineLevel="0" collapsed="false">
      <c r="A172" s="8" t="n">
        <v>46315.8934938079</v>
      </c>
      <c r="B172" s="3" t="s">
        <v>221</v>
      </c>
      <c r="C172" s="0" t="n">
        <v>1</v>
      </c>
      <c r="D172" s="0" t="n">
        <v>19.5</v>
      </c>
      <c r="E172" s="0" t="n">
        <v>0</v>
      </c>
      <c r="F172" s="0" t="n">
        <v>0</v>
      </c>
      <c r="G172" s="0" t="n">
        <v>5.4</v>
      </c>
      <c r="H172" s="0" t="n">
        <v>0</v>
      </c>
      <c r="I172" s="0" t="n">
        <v>0</v>
      </c>
      <c r="J172" s="0" t="n">
        <v>0</v>
      </c>
      <c r="K172" s="0" t="n">
        <v>-35.3632621</v>
      </c>
      <c r="L172" s="0" t="n">
        <v>149.1652374</v>
      </c>
      <c r="M172" s="0" t="n">
        <v>0</v>
      </c>
      <c r="N172" s="3" t="n">
        <f aca="false">(A172-$A$2)*86400</f>
        <v>183.96299961</v>
      </c>
      <c r="O172" s="3" t="n">
        <f aca="false">D172*0.3048</f>
        <v>5.9436</v>
      </c>
      <c r="P172" s="3" t="n">
        <f aca="false">E172*0.44704</f>
        <v>0</v>
      </c>
      <c r="Q172" s="3" t="n">
        <f aca="false">F172*0.44704</f>
        <v>0</v>
      </c>
    </row>
    <row r="173" customFormat="false" ht="15" hidden="false" customHeight="false" outlineLevel="0" collapsed="false">
      <c r="A173" s="8" t="n">
        <v>46315.8935053704</v>
      </c>
      <c r="B173" s="3" t="s">
        <v>222</v>
      </c>
      <c r="C173" s="0" t="n">
        <v>1</v>
      </c>
      <c r="D173" s="0" t="n">
        <v>21.6</v>
      </c>
      <c r="E173" s="0" t="n">
        <v>0</v>
      </c>
      <c r="F173" s="0" t="n">
        <v>0</v>
      </c>
      <c r="G173" s="0" t="n">
        <v>5.7</v>
      </c>
      <c r="H173" s="0" t="n">
        <v>0</v>
      </c>
      <c r="I173" s="0" t="n">
        <v>0</v>
      </c>
      <c r="J173" s="0" t="n">
        <v>0</v>
      </c>
      <c r="K173" s="0" t="n">
        <v>-35.3632621</v>
      </c>
      <c r="L173" s="0" t="n">
        <v>149.1652374</v>
      </c>
      <c r="M173" s="0" t="n">
        <v>0</v>
      </c>
      <c r="N173" s="3" t="n">
        <f aca="false">(A173-$A$2)*86400</f>
        <v>184.961999673</v>
      </c>
      <c r="O173" s="3" t="n">
        <f aca="false">D173*0.3048</f>
        <v>6.58368</v>
      </c>
      <c r="P173" s="3" t="n">
        <f aca="false">E173*0.44704</f>
        <v>0</v>
      </c>
      <c r="Q173" s="3" t="n">
        <f aca="false">F173*0.44704</f>
        <v>0</v>
      </c>
    </row>
    <row r="174" customFormat="false" ht="15" hidden="false" customHeight="false" outlineLevel="0" collapsed="false">
      <c r="A174" s="8" t="n">
        <v>46315.8935171991</v>
      </c>
      <c r="B174" s="3" t="s">
        <v>223</v>
      </c>
      <c r="C174" s="0" t="n">
        <v>1</v>
      </c>
      <c r="D174" s="0" t="n">
        <v>23.7</v>
      </c>
      <c r="E174" s="0" t="n">
        <v>0</v>
      </c>
      <c r="F174" s="0" t="n">
        <v>0</v>
      </c>
      <c r="G174" s="0" t="n">
        <v>5.8</v>
      </c>
      <c r="H174" s="0" t="n">
        <v>0</v>
      </c>
      <c r="I174" s="0" t="n">
        <v>0</v>
      </c>
      <c r="J174" s="0" t="n">
        <v>0</v>
      </c>
      <c r="K174" s="0" t="n">
        <v>-35.3632621</v>
      </c>
      <c r="L174" s="0" t="n">
        <v>149.1652374</v>
      </c>
      <c r="M174" s="0" t="n">
        <v>0</v>
      </c>
      <c r="N174" s="3" t="n">
        <f aca="false">(A174-$A$2)*86400</f>
        <v>185.983999259</v>
      </c>
      <c r="O174" s="3" t="n">
        <f aca="false">D174*0.3048</f>
        <v>7.22376</v>
      </c>
      <c r="P174" s="3" t="n">
        <f aca="false">E174*0.44704</f>
        <v>0</v>
      </c>
      <c r="Q174" s="3" t="n">
        <f aca="false">F174*0.44704</f>
        <v>0</v>
      </c>
    </row>
    <row r="175" customFormat="false" ht="15" hidden="false" customHeight="false" outlineLevel="0" collapsed="false">
      <c r="A175" s="8" t="n">
        <v>46315.8935285648</v>
      </c>
      <c r="B175" s="3" t="s">
        <v>224</v>
      </c>
      <c r="C175" s="0" t="n">
        <v>1</v>
      </c>
      <c r="D175" s="0" t="n">
        <v>25.8</v>
      </c>
      <c r="E175" s="0" t="n">
        <v>0</v>
      </c>
      <c r="F175" s="0" t="n">
        <v>0</v>
      </c>
      <c r="G175" s="0" t="n">
        <v>5.7</v>
      </c>
      <c r="H175" s="0" t="n">
        <v>0</v>
      </c>
      <c r="I175" s="0" t="n">
        <v>0</v>
      </c>
      <c r="J175" s="0" t="n">
        <v>0</v>
      </c>
      <c r="K175" s="0" t="n">
        <v>-35.3632621</v>
      </c>
      <c r="L175" s="0" t="n">
        <v>149.1652374</v>
      </c>
      <c r="M175" s="0" t="n">
        <v>0</v>
      </c>
      <c r="N175" s="3" t="n">
        <f aca="false">(A175-$A$2)*86400</f>
        <v>186.965999566</v>
      </c>
      <c r="O175" s="3" t="n">
        <f aca="false">D175*0.3048</f>
        <v>7.86384</v>
      </c>
      <c r="P175" s="3" t="n">
        <f aca="false">E175*0.44704</f>
        <v>0</v>
      </c>
      <c r="Q175" s="3" t="n">
        <f aca="false">F175*0.44704</f>
        <v>0</v>
      </c>
    </row>
    <row r="176" customFormat="false" ht="15" hidden="false" customHeight="false" outlineLevel="0" collapsed="false">
      <c r="A176" s="8" t="n">
        <v>46315.8935400347</v>
      </c>
      <c r="B176" s="3" t="s">
        <v>225</v>
      </c>
      <c r="C176" s="0" t="n">
        <v>1</v>
      </c>
      <c r="D176" s="0" t="n">
        <v>27.9</v>
      </c>
      <c r="E176" s="0" t="n">
        <v>0</v>
      </c>
      <c r="F176" s="0" t="n">
        <v>0</v>
      </c>
      <c r="G176" s="0" t="n">
        <v>5.7</v>
      </c>
      <c r="H176" s="0" t="n">
        <v>0</v>
      </c>
      <c r="I176" s="0" t="n">
        <v>0</v>
      </c>
      <c r="J176" s="0" t="n">
        <v>0</v>
      </c>
      <c r="K176" s="0" t="n">
        <v>-35.3632621</v>
      </c>
      <c r="L176" s="0" t="n">
        <v>149.1652374</v>
      </c>
      <c r="M176" s="0" t="n">
        <v>0</v>
      </c>
      <c r="N176" s="3" t="n">
        <f aca="false">(A176-$A$2)*86400</f>
        <v>187.957000778</v>
      </c>
      <c r="O176" s="3" t="n">
        <f aca="false">D176*0.3048</f>
        <v>8.50392</v>
      </c>
      <c r="P176" s="3" t="n">
        <f aca="false">E176*0.44704</f>
        <v>0</v>
      </c>
      <c r="Q176" s="3" t="n">
        <f aca="false">F176*0.44704</f>
        <v>0</v>
      </c>
    </row>
    <row r="177" customFormat="false" ht="15" hidden="false" customHeight="false" outlineLevel="0" collapsed="false">
      <c r="A177" s="8" t="n">
        <v>46315.8935516667</v>
      </c>
      <c r="B177" s="3" t="s">
        <v>226</v>
      </c>
      <c r="C177" s="0" t="n">
        <v>1</v>
      </c>
      <c r="D177" s="0" t="n">
        <v>30</v>
      </c>
      <c r="E177" s="0" t="n">
        <v>0</v>
      </c>
      <c r="F177" s="0" t="n">
        <v>0</v>
      </c>
      <c r="G177" s="0" t="n">
        <v>5.6</v>
      </c>
      <c r="H177" s="0" t="n">
        <v>0</v>
      </c>
      <c r="I177" s="0" t="n">
        <v>0</v>
      </c>
      <c r="J177" s="0" t="n">
        <v>0</v>
      </c>
      <c r="K177" s="0" t="n">
        <v>-35.3632621</v>
      </c>
      <c r="L177" s="0" t="n">
        <v>149.1652374</v>
      </c>
      <c r="M177" s="0" t="n">
        <v>0</v>
      </c>
      <c r="N177" s="3" t="n">
        <f aca="false">(A177-$A$2)*86400</f>
        <v>188.961999979</v>
      </c>
      <c r="O177" s="3" t="n">
        <f aca="false">D177*0.3048</f>
        <v>9.144</v>
      </c>
      <c r="P177" s="3" t="n">
        <f aca="false">E177*0.44704</f>
        <v>0</v>
      </c>
      <c r="Q177" s="3" t="n">
        <f aca="false">F177*0.44704</f>
        <v>0</v>
      </c>
    </row>
    <row r="178" customFormat="false" ht="15" hidden="false" customHeight="false" outlineLevel="0" collapsed="false">
      <c r="A178" s="8" t="n">
        <v>46315.8935631597</v>
      </c>
      <c r="B178" s="3" t="s">
        <v>227</v>
      </c>
      <c r="C178" s="0" t="n">
        <v>1</v>
      </c>
      <c r="D178" s="0" t="n">
        <v>30</v>
      </c>
      <c r="E178" s="0" t="n">
        <v>0</v>
      </c>
      <c r="F178" s="0" t="n">
        <v>0</v>
      </c>
      <c r="G178" s="0" t="n">
        <v>5.6</v>
      </c>
      <c r="H178" s="0" t="n">
        <v>0</v>
      </c>
      <c r="I178" s="0" t="n">
        <v>0</v>
      </c>
      <c r="J178" s="0" t="n">
        <v>0</v>
      </c>
      <c r="K178" s="0" t="n">
        <v>-35.3632621</v>
      </c>
      <c r="L178" s="0" t="n">
        <v>149.1652374</v>
      </c>
      <c r="M178" s="0" t="n">
        <v>0</v>
      </c>
      <c r="N178" s="3" t="n">
        <f aca="false">(A178-$A$2)*86400</f>
        <v>189.954999648</v>
      </c>
      <c r="O178" s="3" t="n">
        <f aca="false">D178*0.3048</f>
        <v>9.144</v>
      </c>
      <c r="P178" s="3" t="n">
        <f aca="false">E178*0.44704</f>
        <v>0</v>
      </c>
      <c r="Q178" s="3" t="n">
        <f aca="false">F178*0.44704</f>
        <v>0</v>
      </c>
    </row>
    <row r="179" customFormat="false" ht="15" hidden="false" customHeight="false" outlineLevel="0" collapsed="false">
      <c r="A179" s="8" t="n">
        <v>46315.8935750926</v>
      </c>
      <c r="B179" s="3" t="s">
        <v>228</v>
      </c>
      <c r="C179" s="0" t="n">
        <v>1</v>
      </c>
      <c r="D179" s="0" t="n">
        <v>32</v>
      </c>
      <c r="E179" s="0" t="n">
        <v>0</v>
      </c>
      <c r="F179" s="0" t="n">
        <v>0</v>
      </c>
      <c r="G179" s="0" t="n">
        <v>5.6</v>
      </c>
      <c r="H179" s="0" t="n">
        <v>0</v>
      </c>
      <c r="I179" s="0" t="n">
        <v>0</v>
      </c>
      <c r="J179" s="0" t="n">
        <v>0</v>
      </c>
      <c r="K179" s="0" t="n">
        <v>-35.3632621</v>
      </c>
      <c r="L179" s="0" t="n">
        <v>149.1652374</v>
      </c>
      <c r="M179" s="0" t="n">
        <v>0</v>
      </c>
      <c r="N179" s="3" t="n">
        <f aca="false">(A179-$A$2)*86400</f>
        <v>190.986000769</v>
      </c>
      <c r="O179" s="3" t="n">
        <f aca="false">D179*0.3048</f>
        <v>9.7536</v>
      </c>
      <c r="P179" s="3" t="n">
        <f aca="false">E179*0.44704</f>
        <v>0</v>
      </c>
      <c r="Q179" s="3" t="n">
        <f aca="false">F179*0.44704</f>
        <v>0</v>
      </c>
    </row>
    <row r="180" customFormat="false" ht="15" hidden="false" customHeight="false" outlineLevel="0" collapsed="false">
      <c r="A180" s="8" t="n">
        <v>46315.8935868866</v>
      </c>
      <c r="B180" s="3" t="s">
        <v>229</v>
      </c>
      <c r="C180" s="0" t="n">
        <v>1</v>
      </c>
      <c r="D180" s="0" t="n">
        <v>34.1</v>
      </c>
      <c r="E180" s="0" t="n">
        <v>0</v>
      </c>
      <c r="F180" s="0" t="n">
        <v>0</v>
      </c>
      <c r="G180" s="0" t="n">
        <v>5.6</v>
      </c>
      <c r="H180" s="0" t="n">
        <v>0</v>
      </c>
      <c r="I180" s="0" t="n">
        <v>0</v>
      </c>
      <c r="J180" s="0" t="n">
        <v>0</v>
      </c>
      <c r="K180" s="0" t="n">
        <v>-35.3632621</v>
      </c>
      <c r="L180" s="0" t="n">
        <v>149.1652374</v>
      </c>
      <c r="M180" s="0" t="n">
        <v>0</v>
      </c>
      <c r="N180" s="3" t="n">
        <f aca="false">(A180-$A$2)*86400</f>
        <v>192.004999215</v>
      </c>
      <c r="O180" s="3" t="n">
        <f aca="false">D180*0.3048</f>
        <v>10.39368</v>
      </c>
      <c r="P180" s="3" t="n">
        <f aca="false">E180*0.44704</f>
        <v>0</v>
      </c>
      <c r="Q180" s="3" t="n">
        <f aca="false">F180*0.44704</f>
        <v>0</v>
      </c>
    </row>
    <row r="181" customFormat="false" ht="15" hidden="false" customHeight="false" outlineLevel="0" collapsed="false">
      <c r="A181" s="8" t="n">
        <v>46315.8935981597</v>
      </c>
      <c r="B181" s="3" t="s">
        <v>230</v>
      </c>
      <c r="C181" s="0" t="n">
        <v>1</v>
      </c>
      <c r="D181" s="0" t="n">
        <v>34.1</v>
      </c>
      <c r="E181" s="0" t="n">
        <v>0</v>
      </c>
      <c r="F181" s="0" t="n">
        <v>0</v>
      </c>
      <c r="G181" s="0" t="n">
        <v>5.6</v>
      </c>
      <c r="H181" s="0" t="n">
        <v>0</v>
      </c>
      <c r="I181" s="0" t="n">
        <v>0</v>
      </c>
      <c r="J181" s="0" t="n">
        <v>0</v>
      </c>
      <c r="K181" s="0" t="n">
        <v>-35.3632621</v>
      </c>
      <c r="L181" s="0" t="n">
        <v>149.1652374</v>
      </c>
      <c r="M181" s="0" t="n">
        <v>0</v>
      </c>
      <c r="N181" s="3" t="n">
        <f aca="false">(A181-$A$2)*86400</f>
        <v>192.978999414</v>
      </c>
      <c r="O181" s="3" t="n">
        <f aca="false">D181*0.3048</f>
        <v>10.39368</v>
      </c>
      <c r="P181" s="3" t="n">
        <f aca="false">E181*0.44704</f>
        <v>0</v>
      </c>
      <c r="Q181" s="3" t="n">
        <f aca="false">F181*0.44704</f>
        <v>0</v>
      </c>
    </row>
    <row r="182" customFormat="false" ht="15" hidden="false" customHeight="false" outlineLevel="0" collapsed="false">
      <c r="A182" s="8" t="n">
        <v>46315.8936106134</v>
      </c>
      <c r="B182" s="3" t="s">
        <v>231</v>
      </c>
      <c r="C182" s="0" t="n">
        <v>1</v>
      </c>
      <c r="D182" s="0" t="n">
        <v>36.1</v>
      </c>
      <c r="E182" s="0" t="n">
        <v>0</v>
      </c>
      <c r="F182" s="0" t="n">
        <v>0</v>
      </c>
      <c r="G182" s="0" t="n">
        <v>5.6</v>
      </c>
      <c r="H182" s="0" t="n">
        <v>0</v>
      </c>
      <c r="I182" s="0" t="n">
        <v>0</v>
      </c>
      <c r="J182" s="0" t="n">
        <v>0</v>
      </c>
      <c r="K182" s="0" t="n">
        <v>-35.3632621</v>
      </c>
      <c r="L182" s="0" t="n">
        <v>149.1652374</v>
      </c>
      <c r="M182" s="0" t="n">
        <v>0</v>
      </c>
      <c r="N182" s="3" t="n">
        <f aca="false">(A182-$A$2)*86400</f>
        <v>194.05500004</v>
      </c>
      <c r="O182" s="3" t="n">
        <f aca="false">D182*0.3048</f>
        <v>11.00328</v>
      </c>
      <c r="P182" s="3" t="n">
        <f aca="false">E182*0.44704</f>
        <v>0</v>
      </c>
      <c r="Q182" s="3" t="n">
        <f aca="false">F182*0.44704</f>
        <v>0</v>
      </c>
    </row>
    <row r="183" customFormat="false" ht="15" hidden="false" customHeight="false" outlineLevel="0" collapsed="false">
      <c r="A183" s="8" t="n">
        <v>46315.8936213773</v>
      </c>
      <c r="B183" s="3" t="s">
        <v>231</v>
      </c>
      <c r="C183" s="0" t="n">
        <v>1</v>
      </c>
      <c r="D183" s="0" t="n">
        <v>36.1</v>
      </c>
      <c r="E183" s="0" t="n">
        <v>0</v>
      </c>
      <c r="F183" s="0" t="n">
        <v>0</v>
      </c>
      <c r="G183" s="0" t="n">
        <v>5.6</v>
      </c>
      <c r="H183" s="0" t="n">
        <v>0</v>
      </c>
      <c r="I183" s="0" t="n">
        <v>0</v>
      </c>
      <c r="J183" s="0" t="n">
        <v>0</v>
      </c>
      <c r="K183" s="0" t="n">
        <v>-35.3632621</v>
      </c>
      <c r="L183" s="0" t="n">
        <v>149.1652374</v>
      </c>
      <c r="M183" s="0" t="n">
        <v>0</v>
      </c>
      <c r="N183" s="3" t="n">
        <f aca="false">(A183-$A$2)*86400</f>
        <v>194.984999648</v>
      </c>
      <c r="O183" s="3" t="n">
        <f aca="false">D183*0.3048</f>
        <v>11.00328</v>
      </c>
      <c r="P183" s="3" t="n">
        <f aca="false">E183*0.44704</f>
        <v>0</v>
      </c>
      <c r="Q183" s="3" t="n">
        <f aca="false">F183*0.44704</f>
        <v>0</v>
      </c>
    </row>
    <row r="184" customFormat="false" ht="15" hidden="false" customHeight="false" outlineLevel="0" collapsed="false">
      <c r="A184" s="8" t="n">
        <v>46315.8936354167</v>
      </c>
      <c r="B184" s="3" t="s">
        <v>232</v>
      </c>
      <c r="C184" s="0" t="n">
        <v>1</v>
      </c>
      <c r="D184" s="0" t="n">
        <v>36.1</v>
      </c>
      <c r="E184" s="0" t="n">
        <v>0</v>
      </c>
      <c r="F184" s="0" t="n">
        <v>0</v>
      </c>
      <c r="G184" s="0" t="n">
        <v>5.6</v>
      </c>
      <c r="H184" s="0" t="n">
        <v>0</v>
      </c>
      <c r="I184" s="0" t="n">
        <v>0</v>
      </c>
      <c r="J184" s="0" t="n">
        <v>0</v>
      </c>
      <c r="K184" s="0" t="n">
        <v>-35.3632621</v>
      </c>
      <c r="L184" s="0" t="n">
        <v>149.1652374</v>
      </c>
      <c r="M184" s="0" t="n">
        <v>0</v>
      </c>
      <c r="N184" s="3" t="n">
        <f aca="false">(A184-$A$2)*86400</f>
        <v>196.198000386</v>
      </c>
      <c r="O184" s="3" t="n">
        <f aca="false">D184*0.3048</f>
        <v>11.00328</v>
      </c>
      <c r="P184" s="3" t="n">
        <f aca="false">E184*0.44704</f>
        <v>0</v>
      </c>
      <c r="Q184" s="3" t="n">
        <f aca="false">F184*0.44704</f>
        <v>0</v>
      </c>
    </row>
    <row r="185" customFormat="false" ht="15" hidden="false" customHeight="false" outlineLevel="0" collapsed="false">
      <c r="A185" s="8" t="n">
        <v>46315.8936446644</v>
      </c>
      <c r="B185" s="3" t="s">
        <v>233</v>
      </c>
      <c r="C185" s="0" t="n">
        <v>1</v>
      </c>
      <c r="D185" s="0" t="n">
        <v>38.2</v>
      </c>
      <c r="E185" s="0" t="n">
        <v>0</v>
      </c>
      <c r="F185" s="0" t="n">
        <v>0</v>
      </c>
      <c r="G185" s="0" t="n">
        <v>5.6</v>
      </c>
      <c r="H185" s="0" t="n">
        <v>0</v>
      </c>
      <c r="I185" s="0" t="n">
        <v>0</v>
      </c>
      <c r="J185" s="0" t="n">
        <v>0</v>
      </c>
      <c r="K185" s="0" t="n">
        <v>-35.3632621</v>
      </c>
      <c r="L185" s="0" t="n">
        <v>149.1652374</v>
      </c>
      <c r="M185" s="0" t="n">
        <v>0</v>
      </c>
      <c r="N185" s="3" t="n">
        <f aca="false">(A185-$A$2)*86400</f>
        <v>196.996999648</v>
      </c>
      <c r="O185" s="3" t="n">
        <f aca="false">D185*0.3048</f>
        <v>11.64336</v>
      </c>
      <c r="P185" s="3" t="n">
        <f aca="false">E185*0.44704</f>
        <v>0</v>
      </c>
      <c r="Q185" s="3" t="n">
        <f aca="false">F185*0.44704</f>
        <v>0</v>
      </c>
    </row>
    <row r="186" customFormat="false" ht="15" hidden="false" customHeight="false" outlineLevel="0" collapsed="false">
      <c r="A186" s="8" t="n">
        <v>46315.8936567708</v>
      </c>
      <c r="B186" s="3" t="s">
        <v>234</v>
      </c>
      <c r="C186" s="0" t="n">
        <v>1</v>
      </c>
      <c r="D186" s="0" t="n">
        <v>38.2</v>
      </c>
      <c r="E186" s="0" t="n">
        <v>0</v>
      </c>
      <c r="F186" s="0" t="n">
        <v>0</v>
      </c>
      <c r="G186" s="0" t="n">
        <v>5.6</v>
      </c>
      <c r="H186" s="0" t="n">
        <v>0</v>
      </c>
      <c r="I186" s="0" t="n">
        <v>0</v>
      </c>
      <c r="J186" s="0" t="n">
        <v>0</v>
      </c>
      <c r="K186" s="0" t="n">
        <v>-35.3632621</v>
      </c>
      <c r="L186" s="0" t="n">
        <v>149.1652374</v>
      </c>
      <c r="M186" s="0" t="n">
        <v>0</v>
      </c>
      <c r="N186" s="3" t="n">
        <f aca="false">(A186-$A$2)*86400</f>
        <v>198.043000185</v>
      </c>
      <c r="O186" s="3" t="n">
        <f aca="false">D186*0.3048</f>
        <v>11.64336</v>
      </c>
      <c r="P186" s="3" t="n">
        <f aca="false">E186*0.44704</f>
        <v>0</v>
      </c>
      <c r="Q186" s="3" t="n">
        <f aca="false">F186*0.44704</f>
        <v>0</v>
      </c>
    </row>
    <row r="187" customFormat="false" ht="15" hidden="false" customHeight="false" outlineLevel="0" collapsed="false">
      <c r="A187" s="8" t="n">
        <v>46315.8936685532</v>
      </c>
      <c r="B187" s="3" t="s">
        <v>235</v>
      </c>
      <c r="C187" s="0" t="n">
        <v>1</v>
      </c>
      <c r="D187" s="0" t="n">
        <v>40.2</v>
      </c>
      <c r="E187" s="0" t="n">
        <v>0</v>
      </c>
      <c r="F187" s="0" t="n">
        <v>0</v>
      </c>
      <c r="G187" s="0" t="n">
        <v>5.6</v>
      </c>
      <c r="H187" s="0" t="n">
        <v>0</v>
      </c>
      <c r="I187" s="0" t="n">
        <v>0</v>
      </c>
      <c r="J187" s="0" t="n">
        <v>0</v>
      </c>
      <c r="K187" s="0" t="n">
        <v>-35.3632621</v>
      </c>
      <c r="L187" s="0" t="n">
        <v>149.1652374</v>
      </c>
      <c r="M187" s="0" t="n">
        <v>0</v>
      </c>
      <c r="N187" s="3" t="n">
        <f aca="false">(A187-$A$2)*86400</f>
        <v>199.060999718</v>
      </c>
      <c r="O187" s="3" t="n">
        <f aca="false">D187*0.3048</f>
        <v>12.25296</v>
      </c>
      <c r="P187" s="3" t="n">
        <f aca="false">E187*0.44704</f>
        <v>0</v>
      </c>
      <c r="Q187" s="3" t="n">
        <f aca="false">F187*0.44704</f>
        <v>0</v>
      </c>
    </row>
    <row r="188" customFormat="false" ht="15" hidden="false" customHeight="false" outlineLevel="0" collapsed="false">
      <c r="A188" s="8" t="n">
        <v>46315.89368</v>
      </c>
      <c r="B188" s="3" t="s">
        <v>236</v>
      </c>
      <c r="C188" s="0" t="n">
        <v>1</v>
      </c>
      <c r="D188" s="0" t="n">
        <v>40.2</v>
      </c>
      <c r="E188" s="0" t="n">
        <v>0</v>
      </c>
      <c r="F188" s="0" t="n">
        <v>0</v>
      </c>
      <c r="G188" s="0" t="n">
        <v>5.6</v>
      </c>
      <c r="H188" s="0" t="n">
        <v>0</v>
      </c>
      <c r="I188" s="0" t="n">
        <v>0</v>
      </c>
      <c r="J188" s="0" t="n">
        <v>0</v>
      </c>
      <c r="K188" s="0" t="n">
        <v>-35.3632621</v>
      </c>
      <c r="L188" s="0" t="n">
        <v>149.1652374</v>
      </c>
      <c r="M188" s="0" t="n">
        <v>0</v>
      </c>
      <c r="N188" s="3" t="n">
        <f aca="false">(A188-$A$2)*86400</f>
        <v>200.049999961</v>
      </c>
      <c r="O188" s="3" t="n">
        <f aca="false">D188*0.3048</f>
        <v>12.25296</v>
      </c>
      <c r="P188" s="3" t="n">
        <f aca="false">E188*0.44704</f>
        <v>0</v>
      </c>
      <c r="Q188" s="3" t="n">
        <f aca="false">F188*0.44704</f>
        <v>0</v>
      </c>
    </row>
    <row r="189" customFormat="false" ht="15" hidden="false" customHeight="false" outlineLevel="0" collapsed="false">
      <c r="A189" s="8" t="n">
        <v>46315.8936912037</v>
      </c>
      <c r="B189" s="3" t="s">
        <v>237</v>
      </c>
      <c r="C189" s="0" t="n">
        <v>1</v>
      </c>
      <c r="D189" s="0" t="n">
        <v>42.3</v>
      </c>
      <c r="E189" s="0" t="n">
        <v>0</v>
      </c>
      <c r="F189" s="0" t="n">
        <v>0</v>
      </c>
      <c r="G189" s="0" t="n">
        <v>5.6</v>
      </c>
      <c r="H189" s="0" t="n">
        <v>0</v>
      </c>
      <c r="I189" s="0" t="n">
        <v>0</v>
      </c>
      <c r="J189" s="0" t="n">
        <v>0</v>
      </c>
      <c r="K189" s="0" t="n">
        <v>-35.3632621</v>
      </c>
      <c r="L189" s="0" t="n">
        <v>149.1652374</v>
      </c>
      <c r="M189" s="0" t="n">
        <v>0</v>
      </c>
      <c r="N189" s="3" t="n">
        <f aca="false">(A189-$A$2)*86400</f>
        <v>201.017999765</v>
      </c>
      <c r="O189" s="3" t="n">
        <f aca="false">D189*0.3048</f>
        <v>12.89304</v>
      </c>
      <c r="P189" s="3" t="n">
        <f aca="false">E189*0.44704</f>
        <v>0</v>
      </c>
      <c r="Q189" s="3" t="n">
        <f aca="false">F189*0.44704</f>
        <v>0</v>
      </c>
    </row>
    <row r="190" customFormat="false" ht="15" hidden="false" customHeight="false" outlineLevel="0" collapsed="false">
      <c r="A190" s="8" t="n">
        <v>46315.8937029051</v>
      </c>
      <c r="B190" s="3" t="s">
        <v>238</v>
      </c>
      <c r="C190" s="0" t="n">
        <v>1</v>
      </c>
      <c r="D190" s="0" t="n">
        <v>42.3</v>
      </c>
      <c r="E190" s="0" t="n">
        <v>0</v>
      </c>
      <c r="F190" s="0" t="n">
        <v>0</v>
      </c>
      <c r="G190" s="0" t="n">
        <v>5.6</v>
      </c>
      <c r="H190" s="0" t="n">
        <v>0</v>
      </c>
      <c r="I190" s="0" t="n">
        <v>0</v>
      </c>
      <c r="J190" s="0" t="n">
        <v>0</v>
      </c>
      <c r="K190" s="0" t="n">
        <v>-35.3632621</v>
      </c>
      <c r="L190" s="0" t="n">
        <v>149.1652374</v>
      </c>
      <c r="M190" s="0" t="n">
        <v>0</v>
      </c>
      <c r="N190" s="3" t="n">
        <f aca="false">(A190-$A$2)*86400</f>
        <v>202.028999361</v>
      </c>
      <c r="O190" s="3" t="n">
        <f aca="false">D190*0.3048</f>
        <v>12.89304</v>
      </c>
      <c r="P190" s="3" t="n">
        <f aca="false">E190*0.44704</f>
        <v>0</v>
      </c>
      <c r="Q190" s="3" t="n">
        <f aca="false">F190*0.44704</f>
        <v>0</v>
      </c>
    </row>
    <row r="191" customFormat="false" ht="15" hidden="false" customHeight="false" outlineLevel="0" collapsed="false">
      <c r="A191" s="8" t="n">
        <v>46315.8937151273</v>
      </c>
      <c r="B191" s="3" t="s">
        <v>239</v>
      </c>
      <c r="C191" s="0" t="n">
        <v>1</v>
      </c>
      <c r="D191" s="0" t="n">
        <v>44.3</v>
      </c>
      <c r="E191" s="0" t="n">
        <v>0</v>
      </c>
      <c r="F191" s="0" t="n">
        <v>0</v>
      </c>
      <c r="G191" s="0" t="n">
        <v>5.6</v>
      </c>
      <c r="H191" s="0" t="n">
        <v>0</v>
      </c>
      <c r="I191" s="0" t="n">
        <v>0</v>
      </c>
      <c r="J191" s="0" t="n">
        <v>0</v>
      </c>
      <c r="K191" s="0" t="n">
        <v>-35.3632621</v>
      </c>
      <c r="L191" s="0" t="n">
        <v>149.1652374</v>
      </c>
      <c r="M191" s="0" t="n">
        <v>0</v>
      </c>
      <c r="N191" s="3" t="n">
        <f aca="false">(A191-$A$2)*86400</f>
        <v>203.084999718</v>
      </c>
      <c r="O191" s="3" t="n">
        <f aca="false">D191*0.3048</f>
        <v>13.50264</v>
      </c>
      <c r="P191" s="3" t="n">
        <f aca="false">E191*0.44704</f>
        <v>0</v>
      </c>
      <c r="Q191" s="3" t="n">
        <f aca="false">F191*0.44704</f>
        <v>0</v>
      </c>
    </row>
    <row r="192" customFormat="false" ht="15" hidden="false" customHeight="false" outlineLevel="0" collapsed="false">
      <c r="A192" s="8" t="n">
        <v>46315.8937261806</v>
      </c>
      <c r="B192" s="3" t="s">
        <v>240</v>
      </c>
      <c r="C192" s="0" t="n">
        <v>1</v>
      </c>
      <c r="D192" s="0" t="n">
        <v>44.3</v>
      </c>
      <c r="E192" s="0" t="n">
        <v>0</v>
      </c>
      <c r="F192" s="0" t="n">
        <v>0</v>
      </c>
      <c r="G192" s="0" t="n">
        <v>5.6</v>
      </c>
      <c r="H192" s="0" t="n">
        <v>0</v>
      </c>
      <c r="I192" s="0" t="n">
        <v>0</v>
      </c>
      <c r="J192" s="0" t="n">
        <v>0</v>
      </c>
      <c r="K192" s="0" t="n">
        <v>-35.3632621</v>
      </c>
      <c r="L192" s="0" t="n">
        <v>149.1652374</v>
      </c>
      <c r="M192" s="0" t="n">
        <v>0</v>
      </c>
      <c r="N192" s="3" t="n">
        <f aca="false">(A192-$A$2)*86400</f>
        <v>204.03999919</v>
      </c>
      <c r="O192" s="3" t="n">
        <f aca="false">D192*0.3048</f>
        <v>13.50264</v>
      </c>
      <c r="P192" s="3" t="n">
        <f aca="false">E192*0.44704</f>
        <v>0</v>
      </c>
      <c r="Q192" s="3" t="n">
        <f aca="false">F192*0.44704</f>
        <v>0</v>
      </c>
    </row>
    <row r="193" customFormat="false" ht="15" hidden="false" customHeight="false" outlineLevel="0" collapsed="false">
      <c r="A193" s="8" t="n">
        <v>46315.8937371296</v>
      </c>
      <c r="B193" s="3" t="s">
        <v>241</v>
      </c>
      <c r="C193" s="0" t="n">
        <v>1</v>
      </c>
      <c r="D193" s="0" t="n">
        <v>46.4</v>
      </c>
      <c r="E193" s="0" t="n">
        <v>0</v>
      </c>
      <c r="F193" s="0" t="n">
        <v>0</v>
      </c>
      <c r="G193" s="0" t="n">
        <v>5.6</v>
      </c>
      <c r="H193" s="0" t="n">
        <v>0</v>
      </c>
      <c r="I193" s="0" t="n">
        <v>0</v>
      </c>
      <c r="J193" s="0" t="n">
        <v>0</v>
      </c>
      <c r="K193" s="0" t="n">
        <v>-35.3632621</v>
      </c>
      <c r="L193" s="0" t="n">
        <v>149.1652374</v>
      </c>
      <c r="M193" s="0" t="n">
        <v>0</v>
      </c>
      <c r="N193" s="3" t="n">
        <f aca="false">(A193-$A$2)*86400</f>
        <v>204.985999641</v>
      </c>
      <c r="O193" s="3" t="n">
        <f aca="false">D193*0.3048</f>
        <v>14.14272</v>
      </c>
      <c r="P193" s="3" t="n">
        <f aca="false">E193*0.44704</f>
        <v>0</v>
      </c>
      <c r="Q193" s="3" t="n">
        <f aca="false">F193*0.44704</f>
        <v>0</v>
      </c>
    </row>
    <row r="194" customFormat="false" ht="15" hidden="false" customHeight="false" outlineLevel="0" collapsed="false">
      <c r="A194" s="8" t="n">
        <v>46315.8937492245</v>
      </c>
      <c r="B194" s="3" t="s">
        <v>242</v>
      </c>
      <c r="C194" s="0" t="n">
        <v>1</v>
      </c>
      <c r="D194" s="0" t="n">
        <v>48.4</v>
      </c>
      <c r="E194" s="0" t="n">
        <v>0</v>
      </c>
      <c r="F194" s="0" t="n">
        <v>0</v>
      </c>
      <c r="G194" s="0" t="n">
        <v>5.6</v>
      </c>
      <c r="H194" s="0" t="n">
        <v>0</v>
      </c>
      <c r="I194" s="0" t="n">
        <v>0</v>
      </c>
      <c r="J194" s="0" t="n">
        <v>0</v>
      </c>
      <c r="K194" s="0" t="n">
        <v>-35.3632621</v>
      </c>
      <c r="L194" s="0" t="n">
        <v>149.1652374</v>
      </c>
      <c r="M194" s="0" t="n">
        <v>0</v>
      </c>
      <c r="N194" s="3" t="n">
        <f aca="false">(A194-$A$2)*86400</f>
        <v>206.031000008</v>
      </c>
      <c r="O194" s="3" t="n">
        <f aca="false">D194*0.3048</f>
        <v>14.75232</v>
      </c>
      <c r="P194" s="3" t="n">
        <f aca="false">E194*0.44704</f>
        <v>0</v>
      </c>
      <c r="Q194" s="3" t="n">
        <f aca="false">F194*0.44704</f>
        <v>0</v>
      </c>
    </row>
    <row r="195" customFormat="false" ht="15" hidden="false" customHeight="false" outlineLevel="0" collapsed="false">
      <c r="A195" s="8" t="n">
        <v>46315.8937599537</v>
      </c>
      <c r="B195" s="3" t="s">
        <v>242</v>
      </c>
      <c r="C195" s="0" t="n">
        <v>1</v>
      </c>
      <c r="D195" s="0" t="n">
        <v>48.4</v>
      </c>
      <c r="E195" s="0" t="n">
        <v>0</v>
      </c>
      <c r="F195" s="0" t="n">
        <v>0</v>
      </c>
      <c r="G195" s="0" t="n">
        <v>5.6</v>
      </c>
      <c r="H195" s="0" t="n">
        <v>0</v>
      </c>
      <c r="I195" s="0" t="n">
        <v>0</v>
      </c>
      <c r="J195" s="0" t="n">
        <v>0</v>
      </c>
      <c r="K195" s="0" t="n">
        <v>-35.3632621</v>
      </c>
      <c r="L195" s="0" t="n">
        <v>149.1652374</v>
      </c>
      <c r="M195" s="0" t="n">
        <v>0</v>
      </c>
      <c r="N195" s="3" t="n">
        <f aca="false">(A195-$A$2)*86400</f>
        <v>206.957999733</v>
      </c>
      <c r="O195" s="3" t="n">
        <f aca="false">D195*0.3048</f>
        <v>14.75232</v>
      </c>
      <c r="P195" s="3" t="n">
        <f aca="false">E195*0.44704</f>
        <v>0</v>
      </c>
      <c r="Q195" s="3" t="n">
        <f aca="false">F195*0.44704</f>
        <v>0</v>
      </c>
    </row>
    <row r="196" customFormat="false" ht="15" hidden="false" customHeight="false" outlineLevel="0" collapsed="false">
      <c r="A196" s="8" t="n">
        <v>46315.8937717361</v>
      </c>
      <c r="B196" s="3" t="s">
        <v>243</v>
      </c>
      <c r="C196" s="0" t="n">
        <v>1</v>
      </c>
      <c r="D196" s="0" t="n">
        <v>50.5</v>
      </c>
      <c r="E196" s="0" t="n">
        <v>0</v>
      </c>
      <c r="F196" s="0" t="n">
        <v>0</v>
      </c>
      <c r="G196" s="0" t="n">
        <v>5.6</v>
      </c>
      <c r="H196" s="0" t="n">
        <v>0</v>
      </c>
      <c r="I196" s="0" t="n">
        <v>0</v>
      </c>
      <c r="J196" s="0" t="n">
        <v>0</v>
      </c>
      <c r="K196" s="0" t="n">
        <v>-35.3632621</v>
      </c>
      <c r="L196" s="0" t="n">
        <v>149.1652374</v>
      </c>
      <c r="M196" s="0" t="n">
        <v>0</v>
      </c>
      <c r="N196" s="3" t="n">
        <f aca="false">(A196-$A$2)*86400</f>
        <v>207.975999894</v>
      </c>
      <c r="O196" s="3" t="n">
        <f aca="false">D196*0.3048</f>
        <v>15.3924</v>
      </c>
      <c r="P196" s="3" t="n">
        <f aca="false">E196*0.44704</f>
        <v>0</v>
      </c>
      <c r="Q196" s="3" t="n">
        <f aca="false">F196*0.44704</f>
        <v>0</v>
      </c>
    </row>
    <row r="197" customFormat="false" ht="15" hidden="false" customHeight="false" outlineLevel="0" collapsed="false">
      <c r="A197" s="8" t="n">
        <v>46315.8937832176</v>
      </c>
      <c r="B197" s="3" t="s">
        <v>244</v>
      </c>
      <c r="C197" s="0" t="n">
        <v>1</v>
      </c>
      <c r="D197" s="0" t="n">
        <v>52.5</v>
      </c>
      <c r="E197" s="0" t="n">
        <v>0</v>
      </c>
      <c r="F197" s="0" t="n">
        <v>0</v>
      </c>
      <c r="G197" s="0" t="n">
        <v>5.6</v>
      </c>
      <c r="H197" s="0" t="n">
        <v>0</v>
      </c>
      <c r="I197" s="0" t="n">
        <v>0</v>
      </c>
      <c r="J197" s="0" t="n">
        <v>0</v>
      </c>
      <c r="K197" s="0" t="n">
        <v>-35.3632621</v>
      </c>
      <c r="L197" s="0" t="n">
        <v>149.1652374</v>
      </c>
      <c r="M197" s="0" t="n">
        <v>0</v>
      </c>
      <c r="N197" s="3" t="n">
        <f aca="false">(A197-$A$2)*86400</f>
        <v>208.967999392</v>
      </c>
      <c r="O197" s="3" t="n">
        <f aca="false">D197*0.3048</f>
        <v>16.002</v>
      </c>
      <c r="P197" s="3" t="n">
        <f aca="false">E197*0.44704</f>
        <v>0</v>
      </c>
      <c r="Q197" s="3" t="n">
        <f aca="false">F197*0.44704</f>
        <v>0</v>
      </c>
    </row>
    <row r="198" customFormat="false" ht="15" hidden="false" customHeight="false" outlineLevel="0" collapsed="false">
      <c r="A198" s="8" t="n">
        <v>46315.8937947801</v>
      </c>
      <c r="B198" s="3" t="s">
        <v>245</v>
      </c>
      <c r="C198" s="0" t="n">
        <v>1</v>
      </c>
      <c r="D198" s="0" t="n">
        <v>54.6</v>
      </c>
      <c r="E198" s="0" t="n">
        <v>0</v>
      </c>
      <c r="F198" s="0" t="n">
        <v>0</v>
      </c>
      <c r="G198" s="0" t="n">
        <v>5.6</v>
      </c>
      <c r="H198" s="0" t="n">
        <v>0</v>
      </c>
      <c r="I198" s="0" t="n">
        <v>0</v>
      </c>
      <c r="J198" s="0" t="n">
        <v>0</v>
      </c>
      <c r="K198" s="0" t="n">
        <v>-35.3632621</v>
      </c>
      <c r="L198" s="0" t="n">
        <v>149.1652374</v>
      </c>
      <c r="M198" s="0" t="n">
        <v>0</v>
      </c>
      <c r="N198" s="3" t="n">
        <f aca="false">(A198-$A$2)*86400</f>
        <v>209.967000712</v>
      </c>
      <c r="O198" s="3" t="n">
        <f aca="false">D198*0.3048</f>
        <v>16.64208</v>
      </c>
      <c r="P198" s="3" t="n">
        <f aca="false">E198*0.44704</f>
        <v>0</v>
      </c>
      <c r="Q198" s="3" t="n">
        <f aca="false">F198*0.44704</f>
        <v>0</v>
      </c>
    </row>
    <row r="199" customFormat="false" ht="15" hidden="false" customHeight="false" outlineLevel="0" collapsed="false">
      <c r="A199" s="8" t="n">
        <v>46315.8938065509</v>
      </c>
      <c r="B199" s="3" t="s">
        <v>246</v>
      </c>
      <c r="C199" s="0" t="n">
        <v>1</v>
      </c>
      <c r="D199" s="0" t="n">
        <v>56.6</v>
      </c>
      <c r="E199" s="0" t="n">
        <v>0</v>
      </c>
      <c r="F199" s="0" t="n">
        <v>0</v>
      </c>
      <c r="G199" s="0" t="n">
        <v>5.6</v>
      </c>
      <c r="H199" s="0" t="n">
        <v>0</v>
      </c>
      <c r="I199" s="0" t="n">
        <v>0</v>
      </c>
      <c r="J199" s="0" t="n">
        <v>0</v>
      </c>
      <c r="K199" s="0" t="n">
        <v>-35.3632621</v>
      </c>
      <c r="L199" s="0" t="n">
        <v>149.1652374</v>
      </c>
      <c r="M199" s="0" t="n">
        <v>0</v>
      </c>
      <c r="N199" s="3" t="n">
        <f aca="false">(A199-$A$2)*86400</f>
        <v>210.984000074</v>
      </c>
      <c r="O199" s="3" t="n">
        <f aca="false">D199*0.3048</f>
        <v>17.25168</v>
      </c>
      <c r="P199" s="3" t="n">
        <f aca="false">E199*0.44704</f>
        <v>0</v>
      </c>
      <c r="Q199" s="3" t="n">
        <f aca="false">F199*0.44704</f>
        <v>0</v>
      </c>
    </row>
    <row r="200" customFormat="false" ht="15" hidden="false" customHeight="false" outlineLevel="0" collapsed="false">
      <c r="A200" s="8" t="n">
        <v>46315.8938176736</v>
      </c>
      <c r="B200" s="3" t="s">
        <v>246</v>
      </c>
      <c r="C200" s="0" t="n">
        <v>1</v>
      </c>
      <c r="D200" s="0" t="n">
        <v>56.6</v>
      </c>
      <c r="E200" s="0" t="n">
        <v>0</v>
      </c>
      <c r="F200" s="0" t="n">
        <v>0</v>
      </c>
      <c r="G200" s="0" t="n">
        <v>5.6</v>
      </c>
      <c r="H200" s="0" t="n">
        <v>0</v>
      </c>
      <c r="I200" s="0" t="n">
        <v>0</v>
      </c>
      <c r="J200" s="0" t="n">
        <v>0</v>
      </c>
      <c r="K200" s="0" t="n">
        <v>-35.3632621</v>
      </c>
      <c r="L200" s="0" t="n">
        <v>149.1652374</v>
      </c>
      <c r="M200" s="0" t="n">
        <v>0</v>
      </c>
      <c r="N200" s="3" t="n">
        <f aca="false">(A200-$A$2)*86400</f>
        <v>211.944999941</v>
      </c>
      <c r="O200" s="3" t="n">
        <f aca="false">D200*0.3048</f>
        <v>17.25168</v>
      </c>
      <c r="P200" s="3" t="n">
        <f aca="false">E200*0.44704</f>
        <v>0</v>
      </c>
      <c r="Q200" s="3" t="n">
        <f aca="false">F200*0.44704</f>
        <v>0</v>
      </c>
    </row>
    <row r="201" customFormat="false" ht="15" hidden="false" customHeight="false" outlineLevel="0" collapsed="false">
      <c r="A201" s="8" t="n">
        <v>46315.8938295023</v>
      </c>
      <c r="B201" s="3" t="s">
        <v>247</v>
      </c>
      <c r="C201" s="0" t="n">
        <v>1</v>
      </c>
      <c r="D201" s="0" t="n">
        <v>58.7</v>
      </c>
      <c r="E201" s="0" t="n">
        <v>0</v>
      </c>
      <c r="F201" s="0" t="n">
        <v>0</v>
      </c>
      <c r="G201" s="0" t="n">
        <v>5.6</v>
      </c>
      <c r="H201" s="0" t="n">
        <v>0</v>
      </c>
      <c r="I201" s="0" t="n">
        <v>0</v>
      </c>
      <c r="J201" s="0" t="n">
        <v>0</v>
      </c>
      <c r="K201" s="0" t="n">
        <v>-35.3632621</v>
      </c>
      <c r="L201" s="0" t="n">
        <v>149.1652374</v>
      </c>
      <c r="M201" s="0" t="n">
        <v>0</v>
      </c>
      <c r="N201" s="3" t="n">
        <f aca="false">(A201-$A$2)*86400</f>
        <v>212.967000156</v>
      </c>
      <c r="O201" s="3" t="n">
        <f aca="false">D201*0.3048</f>
        <v>17.89176</v>
      </c>
      <c r="P201" s="3" t="n">
        <f aca="false">E201*0.44704</f>
        <v>0</v>
      </c>
      <c r="Q201" s="3" t="n">
        <f aca="false">F201*0.44704</f>
        <v>0</v>
      </c>
    </row>
    <row r="202" customFormat="false" ht="15" hidden="false" customHeight="false" outlineLevel="0" collapsed="false">
      <c r="A202" s="8" t="n">
        <v>46315.8938411458</v>
      </c>
      <c r="B202" s="3" t="s">
        <v>248</v>
      </c>
      <c r="C202" s="0" t="n">
        <v>1</v>
      </c>
      <c r="D202" s="0" t="n">
        <v>60.7</v>
      </c>
      <c r="E202" s="0" t="n">
        <v>0</v>
      </c>
      <c r="F202" s="0" t="n">
        <v>0</v>
      </c>
      <c r="G202" s="0" t="n">
        <v>5.6</v>
      </c>
      <c r="H202" s="0" t="n">
        <v>0</v>
      </c>
      <c r="I202" s="0" t="n">
        <v>0</v>
      </c>
      <c r="J202" s="0" t="n">
        <v>0</v>
      </c>
      <c r="K202" s="0" t="n">
        <v>-35.3632621</v>
      </c>
      <c r="L202" s="0" t="n">
        <v>149.1652374</v>
      </c>
      <c r="M202" s="0" t="n">
        <v>0</v>
      </c>
      <c r="N202" s="3" t="n">
        <f aca="false">(A202-$A$2)*86400</f>
        <v>213.973000156</v>
      </c>
      <c r="O202" s="3" t="n">
        <f aca="false">D202*0.3048</f>
        <v>18.50136</v>
      </c>
      <c r="P202" s="3" t="n">
        <f aca="false">E202*0.44704</f>
        <v>0</v>
      </c>
      <c r="Q202" s="3" t="n">
        <f aca="false">F202*0.44704</f>
        <v>0</v>
      </c>
    </row>
    <row r="203" customFormat="false" ht="15" hidden="false" customHeight="false" outlineLevel="0" collapsed="false">
      <c r="A203" s="8" t="n">
        <v>46315.8938528009</v>
      </c>
      <c r="B203" s="3" t="s">
        <v>249</v>
      </c>
      <c r="C203" s="0" t="n">
        <v>1</v>
      </c>
      <c r="D203" s="0" t="n">
        <v>62.8</v>
      </c>
      <c r="E203" s="0" t="n">
        <v>0</v>
      </c>
      <c r="F203" s="0" t="n">
        <v>0</v>
      </c>
      <c r="G203" s="0" t="n">
        <v>5.6</v>
      </c>
      <c r="H203" s="0" t="n">
        <v>0</v>
      </c>
      <c r="I203" s="0" t="n">
        <v>0</v>
      </c>
      <c r="J203" s="0" t="n">
        <v>0</v>
      </c>
      <c r="K203" s="0" t="n">
        <v>-35.3632621</v>
      </c>
      <c r="L203" s="0" t="n">
        <v>149.1652374</v>
      </c>
      <c r="M203" s="0" t="n">
        <v>0</v>
      </c>
      <c r="N203" s="3" t="n">
        <f aca="false">(A203-$A$2)*86400</f>
        <v>214.97999907</v>
      </c>
      <c r="O203" s="3" t="n">
        <f aca="false">D203*0.3048</f>
        <v>19.14144</v>
      </c>
      <c r="P203" s="3" t="n">
        <f aca="false">E203*0.44704</f>
        <v>0</v>
      </c>
      <c r="Q203" s="3" t="n">
        <f aca="false">F203*0.44704</f>
        <v>0</v>
      </c>
    </row>
    <row r="204" customFormat="false" ht="15" hidden="false" customHeight="false" outlineLevel="0" collapsed="false">
      <c r="A204" s="8" t="n">
        <v>46315.8938641551</v>
      </c>
      <c r="B204" s="3" t="s">
        <v>250</v>
      </c>
      <c r="C204" s="0" t="n">
        <v>1</v>
      </c>
      <c r="D204" s="0" t="n">
        <v>64.8</v>
      </c>
      <c r="E204" s="0" t="n">
        <v>0</v>
      </c>
      <c r="F204" s="0" t="n">
        <v>0</v>
      </c>
      <c r="G204" s="0" t="n">
        <v>5.6</v>
      </c>
      <c r="H204" s="0" t="n">
        <v>0</v>
      </c>
      <c r="I204" s="0" t="n">
        <v>0</v>
      </c>
      <c r="J204" s="0" t="n">
        <v>0</v>
      </c>
      <c r="K204" s="0" t="n">
        <v>-35.3632621</v>
      </c>
      <c r="L204" s="0" t="n">
        <v>149.1652374</v>
      </c>
      <c r="M204" s="0" t="n">
        <v>0</v>
      </c>
      <c r="N204" s="3" t="n">
        <f aca="false">(A204-$A$2)*86400</f>
        <v>215.960999834</v>
      </c>
      <c r="O204" s="3" t="n">
        <f aca="false">D204*0.3048</f>
        <v>19.75104</v>
      </c>
      <c r="P204" s="3" t="n">
        <f aca="false">E204*0.44704</f>
        <v>0</v>
      </c>
      <c r="Q204" s="3" t="n">
        <f aca="false">F204*0.44704</f>
        <v>0</v>
      </c>
    </row>
    <row r="205" customFormat="false" ht="15" hidden="false" customHeight="false" outlineLevel="0" collapsed="false">
      <c r="A205" s="8" t="n">
        <v>46315.8938760532</v>
      </c>
      <c r="B205" s="3" t="s">
        <v>251</v>
      </c>
      <c r="C205" s="0" t="n">
        <v>1</v>
      </c>
      <c r="D205" s="0" t="n">
        <v>66.9</v>
      </c>
      <c r="E205" s="0" t="n">
        <v>0</v>
      </c>
      <c r="F205" s="0" t="n">
        <v>0</v>
      </c>
      <c r="G205" s="0" t="n">
        <v>5.6</v>
      </c>
      <c r="H205" s="0" t="n">
        <v>0</v>
      </c>
      <c r="I205" s="0" t="n">
        <v>0</v>
      </c>
      <c r="J205" s="0" t="n">
        <v>0</v>
      </c>
      <c r="K205" s="0" t="n">
        <v>-35.3632621</v>
      </c>
      <c r="L205" s="0" t="n">
        <v>149.1652374</v>
      </c>
      <c r="M205" s="0" t="n">
        <v>0</v>
      </c>
      <c r="N205" s="3" t="n">
        <f aca="false">(A205-$A$2)*86400</f>
        <v>216.988999815</v>
      </c>
      <c r="O205" s="3" t="n">
        <f aca="false">D205*0.3048</f>
        <v>20.39112</v>
      </c>
      <c r="P205" s="3" t="n">
        <f aca="false">E205*0.44704</f>
        <v>0</v>
      </c>
      <c r="Q205" s="3" t="n">
        <f aca="false">F205*0.44704</f>
        <v>0</v>
      </c>
    </row>
    <row r="206" customFormat="false" ht="15" hidden="false" customHeight="false" outlineLevel="0" collapsed="false">
      <c r="A206" s="8" t="n">
        <v>46315.8938870833</v>
      </c>
      <c r="B206" s="3" t="s">
        <v>251</v>
      </c>
      <c r="C206" s="0" t="n">
        <v>1</v>
      </c>
      <c r="D206" s="0" t="n">
        <v>68.9</v>
      </c>
      <c r="E206" s="0" t="n">
        <v>0</v>
      </c>
      <c r="F206" s="0" t="n">
        <v>0</v>
      </c>
      <c r="G206" s="0" t="n">
        <v>5.6</v>
      </c>
      <c r="H206" s="0" t="n">
        <v>0</v>
      </c>
      <c r="I206" s="0" t="n">
        <v>0</v>
      </c>
      <c r="J206" s="0" t="n">
        <v>0</v>
      </c>
      <c r="K206" s="0" t="n">
        <v>-35.3632621</v>
      </c>
      <c r="L206" s="0" t="n">
        <v>149.1652374</v>
      </c>
      <c r="M206" s="0" t="n">
        <v>0</v>
      </c>
      <c r="N206" s="3" t="n">
        <f aca="false">(A206-$A$2)*86400</f>
        <v>217.941999575</v>
      </c>
      <c r="O206" s="3" t="n">
        <f aca="false">D206*0.3048</f>
        <v>21.00072</v>
      </c>
      <c r="P206" s="3" t="n">
        <f aca="false">E206*0.44704</f>
        <v>0</v>
      </c>
      <c r="Q206" s="3" t="n">
        <f aca="false">F206*0.44704</f>
        <v>0</v>
      </c>
    </row>
    <row r="207" customFormat="false" ht="15" hidden="false" customHeight="false" outlineLevel="0" collapsed="false">
      <c r="A207" s="8" t="n">
        <v>46315.893898588</v>
      </c>
      <c r="B207" s="3" t="s">
        <v>252</v>
      </c>
      <c r="C207" s="0" t="n">
        <v>1</v>
      </c>
      <c r="D207" s="0" t="n">
        <v>71</v>
      </c>
      <c r="E207" s="0" t="n">
        <v>0</v>
      </c>
      <c r="F207" s="0" t="n">
        <v>0</v>
      </c>
      <c r="G207" s="0" t="n">
        <v>5.6</v>
      </c>
      <c r="H207" s="0" t="n">
        <v>0</v>
      </c>
      <c r="I207" s="0" t="n">
        <v>0</v>
      </c>
      <c r="J207" s="0" t="n">
        <v>0</v>
      </c>
      <c r="K207" s="0" t="n">
        <v>-35.3632621</v>
      </c>
      <c r="L207" s="0" t="n">
        <v>149.1652374</v>
      </c>
      <c r="M207" s="0" t="n">
        <v>0</v>
      </c>
      <c r="N207" s="3" t="n">
        <f aca="false">(A207-$A$2)*86400</f>
        <v>218.935999413</v>
      </c>
      <c r="O207" s="3" t="n">
        <f aca="false">D207*0.3048</f>
        <v>21.6408</v>
      </c>
      <c r="P207" s="3" t="n">
        <f aca="false">E207*0.44704</f>
        <v>0</v>
      </c>
      <c r="Q207" s="3" t="n">
        <f aca="false">F207*0.44704</f>
        <v>0</v>
      </c>
    </row>
    <row r="208" customFormat="false" ht="15" hidden="false" customHeight="false" outlineLevel="0" collapsed="false">
      <c r="A208" s="8" t="n">
        <v>46315.8939102778</v>
      </c>
      <c r="B208" s="3" t="s">
        <v>253</v>
      </c>
      <c r="C208" s="0" t="n">
        <v>1</v>
      </c>
      <c r="D208" s="0" t="n">
        <v>73</v>
      </c>
      <c r="E208" s="0" t="n">
        <v>0</v>
      </c>
      <c r="F208" s="0" t="n">
        <v>0</v>
      </c>
      <c r="G208" s="0" t="n">
        <v>5.6</v>
      </c>
      <c r="H208" s="0" t="n">
        <v>0</v>
      </c>
      <c r="I208" s="0" t="n">
        <v>0</v>
      </c>
      <c r="J208" s="0" t="n">
        <v>0</v>
      </c>
      <c r="K208" s="0" t="n">
        <v>-35.3632621</v>
      </c>
      <c r="L208" s="0" t="n">
        <v>149.1652374</v>
      </c>
      <c r="M208" s="0" t="n">
        <v>0</v>
      </c>
      <c r="N208" s="3" t="n">
        <f aca="false">(A208-$A$2)*86400</f>
        <v>219.946000096</v>
      </c>
      <c r="O208" s="3" t="n">
        <f aca="false">D208*0.3048</f>
        <v>22.2504</v>
      </c>
      <c r="P208" s="3" t="n">
        <f aca="false">E208*0.44704</f>
        <v>0</v>
      </c>
      <c r="Q208" s="3" t="n">
        <f aca="false">F208*0.44704</f>
        <v>0</v>
      </c>
    </row>
    <row r="209" customFormat="false" ht="15" hidden="false" customHeight="false" outlineLevel="0" collapsed="false">
      <c r="A209" s="8" t="n">
        <v>46315.8939225347</v>
      </c>
      <c r="B209" s="3" t="s">
        <v>254</v>
      </c>
      <c r="C209" s="0" t="n">
        <v>1</v>
      </c>
      <c r="D209" s="0" t="n">
        <v>75.1</v>
      </c>
      <c r="E209" s="0" t="n">
        <v>0</v>
      </c>
      <c r="F209" s="0" t="n">
        <v>0</v>
      </c>
      <c r="G209" s="0" t="n">
        <v>5.6</v>
      </c>
      <c r="H209" s="0" t="n">
        <v>0</v>
      </c>
      <c r="I209" s="0" t="n">
        <v>0</v>
      </c>
      <c r="J209" s="0" t="n">
        <v>0</v>
      </c>
      <c r="K209" s="0" t="n">
        <v>-35.3632621</v>
      </c>
      <c r="L209" s="0" t="n">
        <v>149.1652374</v>
      </c>
      <c r="M209" s="0" t="n">
        <v>0</v>
      </c>
      <c r="N209" s="3" t="n">
        <f aca="false">(A209-$A$2)*86400</f>
        <v>221.004999708</v>
      </c>
      <c r="O209" s="3" t="n">
        <f aca="false">D209*0.3048</f>
        <v>22.89048</v>
      </c>
      <c r="P209" s="3" t="n">
        <f aca="false">E209*0.44704</f>
        <v>0</v>
      </c>
      <c r="Q209" s="3" t="n">
        <f aca="false">F209*0.44704</f>
        <v>0</v>
      </c>
    </row>
    <row r="210" customFormat="false" ht="15" hidden="false" customHeight="false" outlineLevel="0" collapsed="false">
      <c r="A210" s="8" t="n">
        <v>46315.8939336458</v>
      </c>
      <c r="B210" s="3" t="s">
        <v>254</v>
      </c>
      <c r="C210" s="0" t="n">
        <v>1</v>
      </c>
      <c r="D210" s="0" t="n">
        <v>75.1</v>
      </c>
      <c r="E210" s="0" t="n">
        <v>0</v>
      </c>
      <c r="F210" s="0" t="n">
        <v>0</v>
      </c>
      <c r="G210" s="0" t="n">
        <v>5.6</v>
      </c>
      <c r="H210" s="0" t="n">
        <v>0</v>
      </c>
      <c r="I210" s="0" t="n">
        <v>0</v>
      </c>
      <c r="J210" s="0" t="n">
        <v>0</v>
      </c>
      <c r="K210" s="0" t="n">
        <v>-35.3632621</v>
      </c>
      <c r="L210" s="0" t="n">
        <v>149.1652374</v>
      </c>
      <c r="M210" s="0" t="n">
        <v>0</v>
      </c>
      <c r="N210" s="3" t="n">
        <f aca="false">(A210-$A$2)*86400</f>
        <v>221.965000662</v>
      </c>
      <c r="O210" s="3" t="n">
        <f aca="false">D210*0.3048</f>
        <v>22.89048</v>
      </c>
      <c r="P210" s="3" t="n">
        <f aca="false">E210*0.44704</f>
        <v>0</v>
      </c>
      <c r="Q210" s="3" t="n">
        <f aca="false">F210*0.44704</f>
        <v>0</v>
      </c>
    </row>
    <row r="211" customFormat="false" ht="15" hidden="false" customHeight="false" outlineLevel="0" collapsed="false">
      <c r="A211" s="8" t="n">
        <v>46315.8939449653</v>
      </c>
      <c r="B211" s="3" t="s">
        <v>255</v>
      </c>
      <c r="C211" s="0" t="n">
        <v>1</v>
      </c>
      <c r="D211" s="0" t="n">
        <v>77.1</v>
      </c>
      <c r="E211" s="0" t="n">
        <v>0</v>
      </c>
      <c r="F211" s="0" t="n">
        <v>0</v>
      </c>
      <c r="G211" s="0" t="n">
        <v>5.6</v>
      </c>
      <c r="H211" s="0" t="n">
        <v>0</v>
      </c>
      <c r="I211" s="0" t="n">
        <v>0</v>
      </c>
      <c r="J211" s="0" t="n">
        <v>0</v>
      </c>
      <c r="K211" s="0" t="n">
        <v>-35.3632621</v>
      </c>
      <c r="L211" s="0" t="n">
        <v>149.1652374</v>
      </c>
      <c r="M211" s="0" t="n">
        <v>0</v>
      </c>
      <c r="N211" s="3" t="n">
        <f aca="false">(A211-$A$2)*86400</f>
        <v>222.943000285</v>
      </c>
      <c r="O211" s="3" t="n">
        <f aca="false">D211*0.3048</f>
        <v>23.50008</v>
      </c>
      <c r="P211" s="3" t="n">
        <f aca="false">E211*0.44704</f>
        <v>0</v>
      </c>
      <c r="Q211" s="3" t="n">
        <f aca="false">F211*0.44704</f>
        <v>0</v>
      </c>
    </row>
    <row r="212" customFormat="false" ht="15" hidden="false" customHeight="false" outlineLevel="0" collapsed="false">
      <c r="A212" s="8" t="n">
        <v>46315.8939574769</v>
      </c>
      <c r="B212" s="3" t="s">
        <v>256</v>
      </c>
      <c r="C212" s="0" t="n">
        <v>1</v>
      </c>
      <c r="D212" s="0" t="n">
        <v>79.2</v>
      </c>
      <c r="E212" s="0" t="n">
        <v>0</v>
      </c>
      <c r="F212" s="0" t="n">
        <v>0</v>
      </c>
      <c r="G212" s="0" t="n">
        <v>5.6</v>
      </c>
      <c r="H212" s="0" t="n">
        <v>0</v>
      </c>
      <c r="I212" s="0" t="n">
        <v>0</v>
      </c>
      <c r="J212" s="0" t="n">
        <v>0</v>
      </c>
      <c r="K212" s="0" t="n">
        <v>-35.3632621</v>
      </c>
      <c r="L212" s="0" t="n">
        <v>149.1652374</v>
      </c>
      <c r="M212" s="0" t="n">
        <v>0</v>
      </c>
      <c r="N212" s="3" t="n">
        <f aca="false">(A212-$A$2)*86400</f>
        <v>224.023999879</v>
      </c>
      <c r="O212" s="3" t="n">
        <f aca="false">D212*0.3048</f>
        <v>24.14016</v>
      </c>
      <c r="P212" s="3" t="n">
        <f aca="false">E212*0.44704</f>
        <v>0</v>
      </c>
      <c r="Q212" s="3" t="n">
        <f aca="false">F212*0.44704</f>
        <v>0</v>
      </c>
    </row>
    <row r="213" customFormat="false" ht="15" hidden="false" customHeight="false" outlineLevel="0" collapsed="false">
      <c r="A213" s="8" t="n">
        <v>46315.8939683218</v>
      </c>
      <c r="B213" s="3" t="s">
        <v>256</v>
      </c>
      <c r="C213" s="0" t="n">
        <v>1</v>
      </c>
      <c r="D213" s="0" t="n">
        <v>79.2</v>
      </c>
      <c r="E213" s="0" t="n">
        <v>0</v>
      </c>
      <c r="F213" s="0" t="n">
        <v>0</v>
      </c>
      <c r="G213" s="0" t="n">
        <v>5.6</v>
      </c>
      <c r="H213" s="0" t="n">
        <v>0</v>
      </c>
      <c r="I213" s="0" t="n">
        <v>0</v>
      </c>
      <c r="J213" s="0" t="n">
        <v>0</v>
      </c>
      <c r="K213" s="0" t="n">
        <v>-35.3632621</v>
      </c>
      <c r="L213" s="0" t="n">
        <v>149.1652374</v>
      </c>
      <c r="M213" s="0" t="n">
        <v>0</v>
      </c>
      <c r="N213" s="3" t="n">
        <f aca="false">(A213-$A$2)*86400</f>
        <v>224.961000052</v>
      </c>
      <c r="O213" s="3" t="n">
        <f aca="false">D213*0.3048</f>
        <v>24.14016</v>
      </c>
      <c r="P213" s="3" t="n">
        <f aca="false">E213*0.44704</f>
        <v>0</v>
      </c>
      <c r="Q213" s="3" t="n">
        <f aca="false">F213*0.44704</f>
        <v>0</v>
      </c>
    </row>
    <row r="214" customFormat="false" ht="15" hidden="false" customHeight="false" outlineLevel="0" collapsed="false">
      <c r="A214" s="8" t="n">
        <v>46315.8939808333</v>
      </c>
      <c r="B214" s="3" t="s">
        <v>257</v>
      </c>
      <c r="C214" s="0" t="n">
        <v>1</v>
      </c>
      <c r="D214" s="0" t="n">
        <v>81.2</v>
      </c>
      <c r="E214" s="0" t="n">
        <v>0</v>
      </c>
      <c r="F214" s="0" t="n">
        <v>0</v>
      </c>
      <c r="G214" s="0" t="n">
        <v>5.6</v>
      </c>
      <c r="H214" s="0" t="n">
        <v>0</v>
      </c>
      <c r="I214" s="0" t="n">
        <v>0</v>
      </c>
      <c r="J214" s="0" t="n">
        <v>0</v>
      </c>
      <c r="K214" s="0" t="n">
        <v>-35.3632621</v>
      </c>
      <c r="L214" s="0" t="n">
        <v>149.1652374</v>
      </c>
      <c r="M214" s="0" t="n">
        <v>0</v>
      </c>
      <c r="N214" s="3" t="n">
        <f aca="false">(A214-$A$2)*86400</f>
        <v>226.041999645</v>
      </c>
      <c r="O214" s="3" t="n">
        <f aca="false">D214*0.3048</f>
        <v>24.74976</v>
      </c>
      <c r="P214" s="3" t="n">
        <f aca="false">E214*0.44704</f>
        <v>0</v>
      </c>
      <c r="Q214" s="3" t="n">
        <f aca="false">F214*0.44704</f>
        <v>0</v>
      </c>
    </row>
    <row r="215" customFormat="false" ht="15" hidden="false" customHeight="false" outlineLevel="0" collapsed="false">
      <c r="A215" s="8" t="n">
        <v>46315.8939921412</v>
      </c>
      <c r="B215" s="3" t="s">
        <v>258</v>
      </c>
      <c r="C215" s="0" t="n">
        <v>1</v>
      </c>
      <c r="D215" s="0" t="n">
        <v>81.2</v>
      </c>
      <c r="E215" s="0" t="n">
        <v>0</v>
      </c>
      <c r="F215" s="0" t="n">
        <v>0</v>
      </c>
      <c r="G215" s="0" t="n">
        <v>5.6</v>
      </c>
      <c r="H215" s="0" t="n">
        <v>0</v>
      </c>
      <c r="I215" s="0" t="n">
        <v>0</v>
      </c>
      <c r="J215" s="0" t="n">
        <v>0</v>
      </c>
      <c r="K215" s="0" t="n">
        <v>-35.3632621</v>
      </c>
      <c r="L215" s="0" t="n">
        <v>149.1652374</v>
      </c>
      <c r="M215" s="0" t="n">
        <v>0</v>
      </c>
      <c r="N215" s="3" t="n">
        <f aca="false">(A215-$A$2)*86400</f>
        <v>227.018999727</v>
      </c>
      <c r="O215" s="3" t="n">
        <f aca="false">D215*0.3048</f>
        <v>24.74976</v>
      </c>
      <c r="P215" s="3" t="n">
        <f aca="false">E215*0.44704</f>
        <v>0</v>
      </c>
      <c r="Q215" s="3" t="n">
        <f aca="false">F215*0.44704</f>
        <v>0</v>
      </c>
    </row>
    <row r="216" customFormat="false" ht="15" hidden="false" customHeight="false" outlineLevel="0" collapsed="false">
      <c r="A216" s="8" t="n">
        <v>46315.8940040394</v>
      </c>
      <c r="B216" s="3" t="s">
        <v>259</v>
      </c>
      <c r="C216" s="0" t="n">
        <v>1</v>
      </c>
      <c r="D216" s="0" t="n">
        <v>83.3</v>
      </c>
      <c r="E216" s="0" t="n">
        <v>0</v>
      </c>
      <c r="F216" s="0" t="n">
        <v>0</v>
      </c>
      <c r="G216" s="0" t="n">
        <v>5.6</v>
      </c>
      <c r="H216" s="0" t="n">
        <v>0</v>
      </c>
      <c r="I216" s="0" t="n">
        <v>0</v>
      </c>
      <c r="J216" s="0" t="n">
        <v>0</v>
      </c>
      <c r="K216" s="0" t="n">
        <v>-35.3632621</v>
      </c>
      <c r="L216" s="0" t="n">
        <v>149.1652374</v>
      </c>
      <c r="M216" s="0" t="n">
        <v>0</v>
      </c>
      <c r="N216" s="3" t="n">
        <f aca="false">(A216-$A$2)*86400</f>
        <v>228.046999708</v>
      </c>
      <c r="O216" s="3" t="n">
        <f aca="false">D216*0.3048</f>
        <v>25.38984</v>
      </c>
      <c r="P216" s="3" t="n">
        <f aca="false">E216*0.44704</f>
        <v>0</v>
      </c>
      <c r="Q216" s="3" t="n">
        <f aca="false">F216*0.44704</f>
        <v>0</v>
      </c>
    </row>
    <row r="217" customFormat="false" ht="15" hidden="false" customHeight="false" outlineLevel="0" collapsed="false">
      <c r="A217" s="8" t="n">
        <v>46315.8940143634</v>
      </c>
      <c r="B217" s="3" t="s">
        <v>260</v>
      </c>
      <c r="C217" s="0" t="n">
        <v>1</v>
      </c>
      <c r="D217" s="0" t="n">
        <v>85.3</v>
      </c>
      <c r="E217" s="0" t="n">
        <v>0</v>
      </c>
      <c r="F217" s="0" t="n">
        <v>0</v>
      </c>
      <c r="G217" s="0" t="n">
        <v>5.6</v>
      </c>
      <c r="H217" s="0" t="n">
        <v>0</v>
      </c>
      <c r="I217" s="0" t="n">
        <v>0</v>
      </c>
      <c r="J217" s="0" t="n">
        <v>0</v>
      </c>
      <c r="K217" s="0" t="n">
        <v>-35.3632621</v>
      </c>
      <c r="L217" s="0" t="n">
        <v>149.1652374</v>
      </c>
      <c r="M217" s="0" t="n">
        <v>0</v>
      </c>
      <c r="N217" s="3" t="n">
        <f aca="false">(A217-$A$2)*86400</f>
        <v>228.93899912</v>
      </c>
      <c r="O217" s="3" t="n">
        <f aca="false">D217*0.3048</f>
        <v>25.99944</v>
      </c>
      <c r="P217" s="3" t="n">
        <f aca="false">E217*0.44704</f>
        <v>0</v>
      </c>
      <c r="Q217" s="3" t="n">
        <f aca="false">F217*0.44704</f>
        <v>0</v>
      </c>
    </row>
    <row r="218" customFormat="false" ht="15" hidden="false" customHeight="false" outlineLevel="0" collapsed="false">
      <c r="A218" s="8" t="n">
        <v>46315.8940272801</v>
      </c>
      <c r="B218" s="3" t="s">
        <v>261</v>
      </c>
      <c r="C218" s="0" t="n">
        <v>1</v>
      </c>
      <c r="D218" s="0" t="n">
        <v>85.3</v>
      </c>
      <c r="E218" s="0" t="n">
        <v>0</v>
      </c>
      <c r="F218" s="0" t="n">
        <v>0</v>
      </c>
      <c r="G218" s="0" t="n">
        <v>5.6</v>
      </c>
      <c r="H218" s="0" t="n">
        <v>0</v>
      </c>
      <c r="I218" s="0" t="n">
        <v>0</v>
      </c>
      <c r="J218" s="0" t="n">
        <v>0</v>
      </c>
      <c r="K218" s="0" t="n">
        <v>-35.3632621</v>
      </c>
      <c r="L218" s="0" t="n">
        <v>149.1652374</v>
      </c>
      <c r="M218" s="0" t="n">
        <v>0</v>
      </c>
      <c r="N218" s="3" t="n">
        <f aca="false">(A218-$A$2)*86400</f>
        <v>230.054999655</v>
      </c>
      <c r="O218" s="3" t="n">
        <f aca="false">D218*0.3048</f>
        <v>25.99944</v>
      </c>
      <c r="P218" s="3" t="n">
        <f aca="false">E218*0.44704</f>
        <v>0</v>
      </c>
      <c r="Q218" s="3" t="n">
        <f aca="false">F218*0.44704</f>
        <v>0</v>
      </c>
    </row>
    <row r="219" customFormat="false" ht="15" hidden="false" customHeight="false" outlineLevel="0" collapsed="false">
      <c r="A219" s="8" t="n">
        <v>46315.8940381944</v>
      </c>
      <c r="B219" s="3" t="s">
        <v>262</v>
      </c>
      <c r="C219" s="0" t="n">
        <v>1</v>
      </c>
      <c r="D219" s="0" t="n">
        <v>87.4</v>
      </c>
      <c r="E219" s="0" t="n">
        <v>0</v>
      </c>
      <c r="F219" s="0" t="n">
        <v>0</v>
      </c>
      <c r="G219" s="0" t="n">
        <v>5.6</v>
      </c>
      <c r="H219" s="0" t="n">
        <v>0</v>
      </c>
      <c r="I219" s="0" t="n">
        <v>0</v>
      </c>
      <c r="J219" s="0" t="n">
        <v>0</v>
      </c>
      <c r="K219" s="0" t="n">
        <v>-35.3632621</v>
      </c>
      <c r="L219" s="0" t="n">
        <v>149.1652374</v>
      </c>
      <c r="M219" s="0" t="n">
        <v>0</v>
      </c>
      <c r="N219" s="3" t="n">
        <f aca="false">(A219-$A$2)*86400</f>
        <v>230.997999594</v>
      </c>
      <c r="O219" s="3" t="n">
        <f aca="false">D219*0.3048</f>
        <v>26.63952</v>
      </c>
      <c r="P219" s="3" t="n">
        <f aca="false">E219*0.44704</f>
        <v>0</v>
      </c>
      <c r="Q219" s="3" t="n">
        <f aca="false">F219*0.44704</f>
        <v>0</v>
      </c>
    </row>
    <row r="220" customFormat="false" ht="15" hidden="false" customHeight="false" outlineLevel="0" collapsed="false">
      <c r="A220" s="8" t="n">
        <v>46315.8940502315</v>
      </c>
      <c r="B220" s="3" t="s">
        <v>263</v>
      </c>
      <c r="C220" s="0" t="n">
        <v>1</v>
      </c>
      <c r="D220" s="0" t="n">
        <v>89.4</v>
      </c>
      <c r="E220" s="0" t="n">
        <v>0</v>
      </c>
      <c r="F220" s="0" t="n">
        <v>0</v>
      </c>
      <c r="G220" s="0" t="n">
        <v>5.6</v>
      </c>
      <c r="H220" s="0" t="n">
        <v>0</v>
      </c>
      <c r="I220" s="0" t="n">
        <v>0</v>
      </c>
      <c r="J220" s="0" t="n">
        <v>0</v>
      </c>
      <c r="K220" s="0" t="n">
        <v>-35.3632621</v>
      </c>
      <c r="L220" s="0" t="n">
        <v>149.1652374</v>
      </c>
      <c r="M220" s="0" t="n">
        <v>0</v>
      </c>
      <c r="N220" s="3" t="n">
        <f aca="false">(A220-$A$2)*86400</f>
        <v>232.037999737</v>
      </c>
      <c r="O220" s="3" t="n">
        <f aca="false">D220*0.3048</f>
        <v>27.24912</v>
      </c>
      <c r="P220" s="3" t="n">
        <f aca="false">E220*0.44704</f>
        <v>0</v>
      </c>
      <c r="Q220" s="3" t="n">
        <f aca="false">F220*0.44704</f>
        <v>0</v>
      </c>
    </row>
    <row r="221" customFormat="false" ht="15" hidden="false" customHeight="false" outlineLevel="0" collapsed="false">
      <c r="A221" s="8" t="n">
        <v>46315.8940612037</v>
      </c>
      <c r="B221" s="3" t="s">
        <v>264</v>
      </c>
      <c r="C221" s="0" t="n">
        <v>1</v>
      </c>
      <c r="D221" s="0" t="n">
        <v>89.4</v>
      </c>
      <c r="E221" s="0" t="n">
        <v>0</v>
      </c>
      <c r="F221" s="0" t="n">
        <v>0</v>
      </c>
      <c r="G221" s="0" t="n">
        <v>5.6</v>
      </c>
      <c r="H221" s="0" t="n">
        <v>0</v>
      </c>
      <c r="I221" s="0" t="n">
        <v>0</v>
      </c>
      <c r="J221" s="0" t="n">
        <v>0</v>
      </c>
      <c r="K221" s="0" t="n">
        <v>-35.3632621</v>
      </c>
      <c r="L221" s="0" t="n">
        <v>149.1652374</v>
      </c>
      <c r="M221" s="0" t="n">
        <v>0</v>
      </c>
      <c r="N221" s="3" t="n">
        <f aca="false">(A221-$A$2)*86400</f>
        <v>232.985999272</v>
      </c>
      <c r="O221" s="3" t="n">
        <f aca="false">D221*0.3048</f>
        <v>27.24912</v>
      </c>
      <c r="P221" s="3" t="n">
        <f aca="false">E221*0.44704</f>
        <v>0</v>
      </c>
      <c r="Q221" s="3" t="n">
        <f aca="false">F221*0.44704</f>
        <v>0</v>
      </c>
    </row>
    <row r="222" customFormat="false" ht="15" hidden="false" customHeight="false" outlineLevel="0" collapsed="false">
      <c r="A222" s="8" t="n">
        <v>46315.8940729051</v>
      </c>
      <c r="B222" s="3" t="s">
        <v>265</v>
      </c>
      <c r="C222" s="0" t="n">
        <v>1</v>
      </c>
      <c r="D222" s="0" t="n">
        <v>91.5</v>
      </c>
      <c r="E222" s="0" t="n">
        <v>0</v>
      </c>
      <c r="F222" s="0" t="n">
        <v>0</v>
      </c>
      <c r="G222" s="0" t="n">
        <v>5.6</v>
      </c>
      <c r="H222" s="0" t="n">
        <v>0</v>
      </c>
      <c r="I222" s="0" t="n">
        <v>0</v>
      </c>
      <c r="J222" s="0" t="n">
        <v>0</v>
      </c>
      <c r="K222" s="0" t="n">
        <v>-35.3632621</v>
      </c>
      <c r="L222" s="0" t="n">
        <v>149.1652374</v>
      </c>
      <c r="M222" s="0" t="n">
        <v>0</v>
      </c>
      <c r="N222" s="3" t="n">
        <f aca="false">(A222-$A$2)*86400</f>
        <v>233.997000753</v>
      </c>
      <c r="O222" s="3" t="n">
        <f aca="false">D222*0.3048</f>
        <v>27.8892</v>
      </c>
      <c r="P222" s="3" t="n">
        <f aca="false">E222*0.44704</f>
        <v>0</v>
      </c>
      <c r="Q222" s="3" t="n">
        <f aca="false">F222*0.44704</f>
        <v>0</v>
      </c>
    </row>
    <row r="223" customFormat="false" ht="15" hidden="false" customHeight="false" outlineLevel="0" collapsed="false">
      <c r="A223" s="8" t="n">
        <v>46315.8940844097</v>
      </c>
      <c r="B223" s="3" t="s">
        <v>266</v>
      </c>
      <c r="C223" s="0" t="n">
        <v>1</v>
      </c>
      <c r="D223" s="0" t="n">
        <v>93.5</v>
      </c>
      <c r="E223" s="0" t="n">
        <v>0</v>
      </c>
      <c r="F223" s="0" t="n">
        <v>0</v>
      </c>
      <c r="G223" s="0" t="n">
        <v>5.6</v>
      </c>
      <c r="H223" s="0" t="n">
        <v>0</v>
      </c>
      <c r="I223" s="0" t="n">
        <v>0</v>
      </c>
      <c r="J223" s="0" t="n">
        <v>0</v>
      </c>
      <c r="K223" s="0" t="n">
        <v>-35.3632621</v>
      </c>
      <c r="L223" s="0" t="n">
        <v>149.1652374</v>
      </c>
      <c r="M223" s="0" t="n">
        <v>0</v>
      </c>
      <c r="N223" s="3" t="n">
        <f aca="false">(A223-$A$2)*86400</f>
        <v>234.990999964</v>
      </c>
      <c r="O223" s="3" t="n">
        <f aca="false">D223*0.3048</f>
        <v>28.4988</v>
      </c>
      <c r="P223" s="3" t="n">
        <f aca="false">E223*0.44704</f>
        <v>0</v>
      </c>
      <c r="Q223" s="3" t="n">
        <f aca="false">F223*0.44704</f>
        <v>0</v>
      </c>
    </row>
    <row r="224" customFormat="false" ht="15" hidden="false" customHeight="false" outlineLevel="0" collapsed="false">
      <c r="A224" s="8" t="n">
        <v>46315.8940971528</v>
      </c>
      <c r="B224" s="3" t="s">
        <v>267</v>
      </c>
      <c r="C224" s="0" t="n">
        <v>1</v>
      </c>
      <c r="D224" s="0" t="n">
        <v>95.6</v>
      </c>
      <c r="E224" s="0" t="n">
        <v>0</v>
      </c>
      <c r="F224" s="0" t="n">
        <v>0</v>
      </c>
      <c r="G224" s="0" t="n">
        <v>5.6</v>
      </c>
      <c r="H224" s="0" t="n">
        <v>0</v>
      </c>
      <c r="I224" s="0" t="n">
        <v>0</v>
      </c>
      <c r="J224" s="0" t="n">
        <v>0</v>
      </c>
      <c r="K224" s="0" t="n">
        <v>-35.3632621</v>
      </c>
      <c r="L224" s="0" t="n">
        <v>149.1652374</v>
      </c>
      <c r="M224" s="0" t="n">
        <v>0</v>
      </c>
      <c r="N224" s="3" t="n">
        <f aca="false">(A224-$A$2)*86400</f>
        <v>236.091999826</v>
      </c>
      <c r="O224" s="3" t="n">
        <f aca="false">D224*0.3048</f>
        <v>29.13888</v>
      </c>
      <c r="P224" s="3" t="n">
        <f aca="false">E224*0.44704</f>
        <v>0</v>
      </c>
      <c r="Q224" s="3" t="n">
        <f aca="false">F224*0.44704</f>
        <v>0</v>
      </c>
    </row>
    <row r="225" customFormat="false" ht="15" hidden="false" customHeight="false" outlineLevel="0" collapsed="false">
      <c r="A225" s="8" t="n">
        <v>46315.8941075116</v>
      </c>
      <c r="B225" s="3" t="s">
        <v>267</v>
      </c>
      <c r="C225" s="0" t="n">
        <v>1</v>
      </c>
      <c r="D225" s="0" t="n">
        <v>95.6</v>
      </c>
      <c r="E225" s="0" t="n">
        <v>0</v>
      </c>
      <c r="F225" s="0" t="n">
        <v>0</v>
      </c>
      <c r="G225" s="0" t="n">
        <v>5.6</v>
      </c>
      <c r="H225" s="0" t="n">
        <v>0</v>
      </c>
      <c r="I225" s="0" t="n">
        <v>0</v>
      </c>
      <c r="J225" s="0" t="n">
        <v>0</v>
      </c>
      <c r="K225" s="0" t="n">
        <v>-35.3632621</v>
      </c>
      <c r="L225" s="0" t="n">
        <v>149.1652374</v>
      </c>
      <c r="M225" s="0" t="n">
        <v>0</v>
      </c>
      <c r="N225" s="3" t="n">
        <f aca="false">(A225-$A$2)*86400</f>
        <v>236.986999749</v>
      </c>
      <c r="O225" s="3" t="n">
        <f aca="false">D225*0.3048</f>
        <v>29.13888</v>
      </c>
      <c r="P225" s="3" t="n">
        <f aca="false">E225*0.44704</f>
        <v>0</v>
      </c>
      <c r="Q225" s="3" t="n">
        <f aca="false">F225*0.44704</f>
        <v>0</v>
      </c>
    </row>
    <row r="226" customFormat="false" ht="15" hidden="false" customHeight="false" outlineLevel="0" collapsed="false">
      <c r="A226" s="8" t="n">
        <v>46315.8941189931</v>
      </c>
      <c r="B226" s="3" t="s">
        <v>268</v>
      </c>
      <c r="C226" s="0" t="n">
        <v>1</v>
      </c>
      <c r="D226" s="0" t="n">
        <v>97.6</v>
      </c>
      <c r="E226" s="0" t="n">
        <v>0</v>
      </c>
      <c r="F226" s="0" t="n">
        <v>0</v>
      </c>
      <c r="G226" s="0" t="n">
        <v>5.6</v>
      </c>
      <c r="H226" s="0" t="n">
        <v>0</v>
      </c>
      <c r="I226" s="0" t="n">
        <v>0</v>
      </c>
      <c r="J226" s="0" t="n">
        <v>0</v>
      </c>
      <c r="K226" s="0" t="n">
        <v>-35.3632621</v>
      </c>
      <c r="L226" s="0" t="n">
        <v>149.1652374</v>
      </c>
      <c r="M226" s="0" t="n">
        <v>0</v>
      </c>
      <c r="N226" s="3" t="n">
        <f aca="false">(A226-$A$2)*86400</f>
        <v>237.979000504</v>
      </c>
      <c r="O226" s="3" t="n">
        <f aca="false">D226*0.3048</f>
        <v>29.74848</v>
      </c>
      <c r="P226" s="3" t="n">
        <f aca="false">E226*0.44704</f>
        <v>0</v>
      </c>
      <c r="Q226" s="3" t="n">
        <f aca="false">F226*0.44704</f>
        <v>0</v>
      </c>
    </row>
    <row r="227" customFormat="false" ht="15" hidden="false" customHeight="false" outlineLevel="0" collapsed="false">
      <c r="A227" s="8" t="n">
        <v>46315.8941309259</v>
      </c>
      <c r="B227" s="3" t="s">
        <v>269</v>
      </c>
      <c r="C227" s="0" t="n">
        <v>1</v>
      </c>
      <c r="D227" s="0" t="n">
        <v>99.7</v>
      </c>
      <c r="E227" s="0" t="n">
        <v>0</v>
      </c>
      <c r="F227" s="0" t="n">
        <v>0</v>
      </c>
      <c r="G227" s="0" t="n">
        <v>5.6</v>
      </c>
      <c r="H227" s="0" t="n">
        <v>0</v>
      </c>
      <c r="I227" s="0" t="n">
        <v>0</v>
      </c>
      <c r="J227" s="0" t="n">
        <v>0</v>
      </c>
      <c r="K227" s="0" t="n">
        <v>-35.3632621</v>
      </c>
      <c r="L227" s="0" t="n">
        <v>149.1652374</v>
      </c>
      <c r="M227" s="0" t="n">
        <v>0</v>
      </c>
      <c r="N227" s="3" t="n">
        <f aca="false">(A227-$A$2)*86400</f>
        <v>239.009999111</v>
      </c>
      <c r="O227" s="3" t="n">
        <f aca="false">D227*0.3048</f>
        <v>30.38856</v>
      </c>
      <c r="P227" s="3" t="n">
        <f aca="false">E227*0.44704</f>
        <v>0</v>
      </c>
      <c r="Q227" s="3" t="n">
        <f aca="false">F227*0.44704</f>
        <v>0</v>
      </c>
    </row>
    <row r="228" customFormat="false" ht="15" hidden="false" customHeight="false" outlineLevel="0" collapsed="false">
      <c r="A228" s="8" t="n">
        <v>46315.8941424769</v>
      </c>
      <c r="B228" s="3" t="s">
        <v>270</v>
      </c>
      <c r="C228" s="0" t="n">
        <v>1</v>
      </c>
      <c r="D228" s="0" t="n">
        <v>99.7</v>
      </c>
      <c r="E228" s="0" t="n">
        <v>0</v>
      </c>
      <c r="F228" s="0" t="n">
        <v>0</v>
      </c>
      <c r="G228" s="0" t="n">
        <v>5.6</v>
      </c>
      <c r="H228" s="0" t="n">
        <v>0</v>
      </c>
      <c r="I228" s="0" t="n">
        <v>0</v>
      </c>
      <c r="J228" s="0" t="n">
        <v>0</v>
      </c>
      <c r="K228" s="0" t="n">
        <v>-35.3632621</v>
      </c>
      <c r="L228" s="0" t="n">
        <v>149.1652374</v>
      </c>
      <c r="M228" s="0" t="n">
        <v>0</v>
      </c>
      <c r="N228" s="3" t="n">
        <f aca="false">(A228-$A$2)*86400</f>
        <v>240.007999632</v>
      </c>
      <c r="O228" s="3" t="n">
        <f aca="false">D228*0.3048</f>
        <v>30.38856</v>
      </c>
      <c r="P228" s="3" t="n">
        <f aca="false">E228*0.44704</f>
        <v>0</v>
      </c>
      <c r="Q228" s="3" t="n">
        <f aca="false">F228*0.44704</f>
        <v>0</v>
      </c>
    </row>
    <row r="229" customFormat="false" ht="15" hidden="false" customHeight="false" outlineLevel="0" collapsed="false">
      <c r="A229" s="8" t="n">
        <v>46315.8941536343</v>
      </c>
      <c r="B229" s="3" t="s">
        <v>271</v>
      </c>
      <c r="C229" s="0" t="n">
        <v>1</v>
      </c>
      <c r="D229" s="0" t="n">
        <v>101.7</v>
      </c>
      <c r="E229" s="0" t="n">
        <v>0</v>
      </c>
      <c r="F229" s="0" t="n">
        <v>0</v>
      </c>
      <c r="G229" s="0" t="n">
        <v>5.6</v>
      </c>
      <c r="H229" s="0" t="n">
        <v>0</v>
      </c>
      <c r="I229" s="0" t="n">
        <v>0</v>
      </c>
      <c r="J229" s="0" t="n">
        <v>0</v>
      </c>
      <c r="K229" s="0" t="n">
        <v>-35.3632621</v>
      </c>
      <c r="L229" s="0" t="n">
        <v>149.1652374</v>
      </c>
      <c r="M229" s="0" t="n">
        <v>0</v>
      </c>
      <c r="N229" s="3" t="n">
        <f aca="false">(A229-$A$2)*86400</f>
        <v>240.972000011</v>
      </c>
      <c r="O229" s="3" t="n">
        <f aca="false">D229*0.3048</f>
        <v>30.99816</v>
      </c>
      <c r="P229" s="3" t="n">
        <f aca="false">E229*0.44704</f>
        <v>0</v>
      </c>
      <c r="Q229" s="3" t="n">
        <f aca="false">F229*0.44704</f>
        <v>0</v>
      </c>
    </row>
    <row r="230" customFormat="false" ht="15" hidden="false" customHeight="false" outlineLevel="0" collapsed="false">
      <c r="A230" s="8" t="n">
        <v>46315.8941656019</v>
      </c>
      <c r="B230" s="3" t="s">
        <v>272</v>
      </c>
      <c r="C230" s="0" t="n">
        <v>1</v>
      </c>
      <c r="D230" s="0" t="n">
        <v>103.8</v>
      </c>
      <c r="E230" s="0" t="n">
        <v>0</v>
      </c>
      <c r="F230" s="0" t="n">
        <v>0</v>
      </c>
      <c r="G230" s="0" t="n">
        <v>5.6</v>
      </c>
      <c r="H230" s="0" t="n">
        <v>0</v>
      </c>
      <c r="I230" s="0" t="n">
        <v>0</v>
      </c>
      <c r="J230" s="0" t="n">
        <v>0</v>
      </c>
      <c r="K230" s="0" t="n">
        <v>-35.3632621</v>
      </c>
      <c r="L230" s="0" t="n">
        <v>149.1652374</v>
      </c>
      <c r="M230" s="0" t="n">
        <v>0</v>
      </c>
      <c r="N230" s="3" t="n">
        <f aca="false">(A230-$A$2)*86400</f>
        <v>242.005999758</v>
      </c>
      <c r="O230" s="3" t="n">
        <f aca="false">D230*0.3048</f>
        <v>31.63824</v>
      </c>
      <c r="P230" s="3" t="n">
        <f aca="false">E230*0.44704</f>
        <v>0</v>
      </c>
      <c r="Q230" s="3" t="n">
        <f aca="false">F230*0.44704</f>
        <v>0</v>
      </c>
    </row>
    <row r="231" customFormat="false" ht="15" hidden="false" customHeight="false" outlineLevel="0" collapsed="false">
      <c r="A231" s="8" t="n">
        <v>46315.8941769907</v>
      </c>
      <c r="B231" s="3" t="s">
        <v>273</v>
      </c>
      <c r="C231" s="0" t="n">
        <v>1</v>
      </c>
      <c r="D231" s="0" t="n">
        <v>105.8</v>
      </c>
      <c r="E231" s="0" t="n">
        <v>0</v>
      </c>
      <c r="F231" s="0" t="n">
        <v>0</v>
      </c>
      <c r="G231" s="0" t="n">
        <v>5.6</v>
      </c>
      <c r="H231" s="0" t="n">
        <v>0</v>
      </c>
      <c r="I231" s="0" t="n">
        <v>0</v>
      </c>
      <c r="J231" s="0" t="n">
        <v>0</v>
      </c>
      <c r="K231" s="0" t="n">
        <v>-35.3632621</v>
      </c>
      <c r="L231" s="0" t="n">
        <v>149.1652374</v>
      </c>
      <c r="M231" s="0" t="n">
        <v>0</v>
      </c>
      <c r="N231" s="3" t="n">
        <f aca="false">(A231-$A$2)*86400</f>
        <v>242.989999777</v>
      </c>
      <c r="O231" s="3" t="n">
        <f aca="false">D231*0.3048</f>
        <v>32.24784</v>
      </c>
      <c r="P231" s="3" t="n">
        <f aca="false">E231*0.44704</f>
        <v>0</v>
      </c>
      <c r="Q231" s="3" t="n">
        <f aca="false">F231*0.44704</f>
        <v>0</v>
      </c>
    </row>
    <row r="232" customFormat="false" ht="15" hidden="false" customHeight="false" outlineLevel="0" collapsed="false">
      <c r="A232" s="8" t="n">
        <v>46315.8941886921</v>
      </c>
      <c r="B232" s="3" t="s">
        <v>273</v>
      </c>
      <c r="C232" s="0" t="n">
        <v>1</v>
      </c>
      <c r="D232" s="0" t="n">
        <v>105.8</v>
      </c>
      <c r="E232" s="0" t="n">
        <v>0</v>
      </c>
      <c r="F232" s="0" t="n">
        <v>0</v>
      </c>
      <c r="G232" s="0" t="n">
        <v>5.6</v>
      </c>
      <c r="H232" s="0" t="n">
        <v>0</v>
      </c>
      <c r="I232" s="0" t="n">
        <v>0</v>
      </c>
      <c r="J232" s="0" t="n">
        <v>0</v>
      </c>
      <c r="K232" s="0" t="n">
        <v>-35.3632621</v>
      </c>
      <c r="L232" s="0" t="n">
        <v>149.1652374</v>
      </c>
      <c r="M232" s="0" t="n">
        <v>0</v>
      </c>
      <c r="N232" s="3" t="n">
        <f aca="false">(A232-$A$2)*86400</f>
        <v>244.001000002</v>
      </c>
      <c r="O232" s="3" t="n">
        <f aca="false">D232*0.3048</f>
        <v>32.24784</v>
      </c>
      <c r="P232" s="3" t="n">
        <f aca="false">E232*0.44704</f>
        <v>0</v>
      </c>
      <c r="Q232" s="3" t="n">
        <f aca="false">F232*0.44704</f>
        <v>0</v>
      </c>
    </row>
    <row r="233" customFormat="false" ht="15" hidden="false" customHeight="false" outlineLevel="0" collapsed="false">
      <c r="A233" s="8" t="n">
        <v>46315.8942016204</v>
      </c>
      <c r="B233" s="3" t="s">
        <v>274</v>
      </c>
      <c r="C233" s="0" t="n">
        <v>1</v>
      </c>
      <c r="D233" s="0" t="n">
        <v>107.9</v>
      </c>
      <c r="E233" s="0" t="n">
        <v>0</v>
      </c>
      <c r="F233" s="0" t="n">
        <v>0</v>
      </c>
      <c r="G233" s="0" t="n">
        <v>5.6</v>
      </c>
      <c r="H233" s="0" t="n">
        <v>0</v>
      </c>
      <c r="I233" s="0" t="n">
        <v>0</v>
      </c>
      <c r="J233" s="0" t="n">
        <v>0</v>
      </c>
      <c r="K233" s="0" t="n">
        <v>-35.3632621</v>
      </c>
      <c r="L233" s="0" t="n">
        <v>149.1652374</v>
      </c>
      <c r="M233" s="0" t="n">
        <v>0</v>
      </c>
      <c r="N233" s="3" t="n">
        <f aca="false">(A233-$A$2)*86400</f>
        <v>245.118000078</v>
      </c>
      <c r="O233" s="3" t="n">
        <f aca="false">D233*0.3048</f>
        <v>32.88792</v>
      </c>
      <c r="P233" s="3" t="n">
        <f aca="false">E233*0.44704</f>
        <v>0</v>
      </c>
      <c r="Q233" s="3" t="n">
        <f aca="false">F233*0.44704</f>
        <v>0</v>
      </c>
    </row>
    <row r="234" customFormat="false" ht="15" hidden="false" customHeight="false" outlineLevel="0" collapsed="false">
      <c r="A234" s="8" t="n">
        <v>46315.8942115857</v>
      </c>
      <c r="B234" s="3" t="s">
        <v>275</v>
      </c>
      <c r="C234" s="0" t="n">
        <v>1</v>
      </c>
      <c r="D234" s="0" t="n">
        <v>107.9</v>
      </c>
      <c r="E234" s="0" t="n">
        <v>0</v>
      </c>
      <c r="F234" s="0" t="n">
        <v>0</v>
      </c>
      <c r="G234" s="0" t="n">
        <v>5.6</v>
      </c>
      <c r="H234" s="0" t="n">
        <v>0</v>
      </c>
      <c r="I234" s="0" t="n">
        <v>0</v>
      </c>
      <c r="J234" s="0" t="n">
        <v>0</v>
      </c>
      <c r="K234" s="0" t="n">
        <v>-35.3632621</v>
      </c>
      <c r="L234" s="0" t="n">
        <v>149.1652374</v>
      </c>
      <c r="M234" s="0" t="n">
        <v>0</v>
      </c>
      <c r="N234" s="3" t="n">
        <f aca="false">(A234-$A$2)*86400</f>
        <v>245.978999859</v>
      </c>
      <c r="O234" s="3" t="n">
        <f aca="false">D234*0.3048</f>
        <v>32.88792</v>
      </c>
      <c r="P234" s="3" t="n">
        <f aca="false">E234*0.44704</f>
        <v>0</v>
      </c>
      <c r="Q234" s="3" t="n">
        <f aca="false">F234*0.44704</f>
        <v>0</v>
      </c>
    </row>
    <row r="235" customFormat="false" ht="15" hidden="false" customHeight="false" outlineLevel="0" collapsed="false">
      <c r="A235" s="8" t="n">
        <v>46315.8942234954</v>
      </c>
      <c r="B235" s="3" t="s">
        <v>276</v>
      </c>
      <c r="C235" s="0" t="n">
        <v>1</v>
      </c>
      <c r="D235" s="0" t="n">
        <v>109.9</v>
      </c>
      <c r="E235" s="0" t="n">
        <v>0</v>
      </c>
      <c r="F235" s="0" t="n">
        <v>0</v>
      </c>
      <c r="G235" s="0" t="n">
        <v>5.6</v>
      </c>
      <c r="H235" s="0" t="n">
        <v>0</v>
      </c>
      <c r="I235" s="0" t="n">
        <v>0</v>
      </c>
      <c r="J235" s="0" t="n">
        <v>0</v>
      </c>
      <c r="K235" s="0" t="n">
        <v>-35.3632621</v>
      </c>
      <c r="L235" s="0" t="n">
        <v>149.1652374</v>
      </c>
      <c r="M235" s="0" t="n">
        <v>0</v>
      </c>
      <c r="N235" s="3" t="n">
        <f aca="false">(A235-$A$2)*86400</f>
        <v>247.008000011</v>
      </c>
      <c r="O235" s="3" t="n">
        <f aca="false">D235*0.3048</f>
        <v>33.49752</v>
      </c>
      <c r="P235" s="3" t="n">
        <f aca="false">E235*0.44704</f>
        <v>0</v>
      </c>
      <c r="Q235" s="3" t="n">
        <f aca="false">F235*0.44704</f>
        <v>0</v>
      </c>
    </row>
    <row r="236" customFormat="false" ht="15" hidden="false" customHeight="false" outlineLevel="0" collapsed="false">
      <c r="A236" s="8" t="n">
        <v>46315.8942350694</v>
      </c>
      <c r="B236" s="3" t="s">
        <v>277</v>
      </c>
      <c r="C236" s="0" t="n">
        <v>1</v>
      </c>
      <c r="D236" s="0" t="n">
        <v>112</v>
      </c>
      <c r="E236" s="0" t="n">
        <v>0</v>
      </c>
      <c r="F236" s="0" t="n">
        <v>0</v>
      </c>
      <c r="G236" s="0" t="n">
        <v>5.6</v>
      </c>
      <c r="H236" s="0" t="n">
        <v>0</v>
      </c>
      <c r="I236" s="0" t="n">
        <v>0</v>
      </c>
      <c r="J236" s="0" t="n">
        <v>0</v>
      </c>
      <c r="K236" s="0" t="n">
        <v>-35.3632621</v>
      </c>
      <c r="L236" s="0" t="n">
        <v>149.1652374</v>
      </c>
      <c r="M236" s="0" t="n">
        <v>0</v>
      </c>
      <c r="N236" s="3" t="n">
        <f aca="false">(A236-$A$2)*86400</f>
        <v>248.007999616</v>
      </c>
      <c r="O236" s="3" t="n">
        <f aca="false">D236*0.3048</f>
        <v>34.1376</v>
      </c>
      <c r="P236" s="3" t="n">
        <f aca="false">E236*0.44704</f>
        <v>0</v>
      </c>
      <c r="Q236" s="3" t="n">
        <f aca="false">F236*0.44704</f>
        <v>0</v>
      </c>
    </row>
    <row r="237" customFormat="false" ht="15" hidden="false" customHeight="false" outlineLevel="0" collapsed="false">
      <c r="A237" s="8" t="n">
        <v>46315.8942464699</v>
      </c>
      <c r="B237" s="3" t="s">
        <v>278</v>
      </c>
      <c r="C237" s="0" t="n">
        <v>1</v>
      </c>
      <c r="D237" s="0" t="n">
        <v>114</v>
      </c>
      <c r="E237" s="0" t="n">
        <v>0</v>
      </c>
      <c r="F237" s="0" t="n">
        <v>0</v>
      </c>
      <c r="G237" s="0" t="n">
        <v>5.6</v>
      </c>
      <c r="H237" s="0" t="n">
        <v>0</v>
      </c>
      <c r="I237" s="0" t="n">
        <v>0</v>
      </c>
      <c r="J237" s="0" t="n">
        <v>0</v>
      </c>
      <c r="K237" s="0" t="n">
        <v>-35.3632621</v>
      </c>
      <c r="L237" s="0" t="n">
        <v>149.1652374</v>
      </c>
      <c r="M237" s="0" t="n">
        <v>0</v>
      </c>
      <c r="N237" s="3" t="n">
        <f aca="false">(A237-$A$2)*86400</f>
        <v>248.992999806</v>
      </c>
      <c r="O237" s="3" t="n">
        <f aca="false">D237*0.3048</f>
        <v>34.7472</v>
      </c>
      <c r="P237" s="3" t="n">
        <f aca="false">E237*0.44704</f>
        <v>0</v>
      </c>
      <c r="Q237" s="3" t="n">
        <f aca="false">F237*0.44704</f>
        <v>0</v>
      </c>
    </row>
    <row r="238" customFormat="false" ht="15" hidden="false" customHeight="false" outlineLevel="0" collapsed="false">
      <c r="A238" s="8" t="n">
        <v>46315.8942581713</v>
      </c>
      <c r="B238" s="3" t="s">
        <v>279</v>
      </c>
      <c r="C238" s="0" t="n">
        <v>1</v>
      </c>
      <c r="D238" s="0" t="n">
        <v>114</v>
      </c>
      <c r="E238" s="0" t="n">
        <v>0</v>
      </c>
      <c r="F238" s="0" t="n">
        <v>0</v>
      </c>
      <c r="G238" s="0" t="n">
        <v>5.6</v>
      </c>
      <c r="H238" s="0" t="n">
        <v>0</v>
      </c>
      <c r="I238" s="0" t="n">
        <v>0</v>
      </c>
      <c r="J238" s="0" t="n">
        <v>0</v>
      </c>
      <c r="K238" s="0" t="n">
        <v>-35.3632621</v>
      </c>
      <c r="L238" s="0" t="n">
        <v>149.1652374</v>
      </c>
      <c r="M238" s="0" t="n">
        <v>0</v>
      </c>
      <c r="N238" s="3" t="n">
        <f aca="false">(A238-$A$2)*86400</f>
        <v>250.00400003</v>
      </c>
      <c r="O238" s="3" t="n">
        <f aca="false">D238*0.3048</f>
        <v>34.7472</v>
      </c>
      <c r="P238" s="3" t="n">
        <f aca="false">E238*0.44704</f>
        <v>0</v>
      </c>
      <c r="Q238" s="3" t="n">
        <f aca="false">F238*0.44704</f>
        <v>0</v>
      </c>
    </row>
    <row r="239" customFormat="false" ht="15" hidden="false" customHeight="false" outlineLevel="0" collapsed="false">
      <c r="A239" s="8" t="n">
        <v>46315.8942694329</v>
      </c>
      <c r="B239" s="3" t="s">
        <v>280</v>
      </c>
      <c r="C239" s="0" t="n">
        <v>1</v>
      </c>
      <c r="D239" s="0" t="n">
        <v>116.1</v>
      </c>
      <c r="E239" s="0" t="n">
        <v>0</v>
      </c>
      <c r="F239" s="0" t="n">
        <v>0</v>
      </c>
      <c r="G239" s="0" t="n">
        <v>5.6</v>
      </c>
      <c r="H239" s="0" t="n">
        <v>0</v>
      </c>
      <c r="I239" s="0" t="n">
        <v>0</v>
      </c>
      <c r="J239" s="0" t="n">
        <v>0</v>
      </c>
      <c r="K239" s="0" t="n">
        <v>-35.3632621</v>
      </c>
      <c r="L239" s="0" t="n">
        <v>149.1652374</v>
      </c>
      <c r="M239" s="0" t="n">
        <v>0</v>
      </c>
      <c r="N239" s="3" t="n">
        <f aca="false">(A239-$A$2)*86400</f>
        <v>250.977000058</v>
      </c>
      <c r="O239" s="3" t="n">
        <f aca="false">D239*0.3048</f>
        <v>35.38728</v>
      </c>
      <c r="P239" s="3" t="n">
        <f aca="false">E239*0.44704</f>
        <v>0</v>
      </c>
      <c r="Q239" s="3" t="n">
        <f aca="false">F239*0.44704</f>
        <v>0</v>
      </c>
    </row>
    <row r="240" customFormat="false" ht="15" hidden="false" customHeight="false" outlineLevel="0" collapsed="false">
      <c r="A240" s="8" t="n">
        <v>46315.8942810995</v>
      </c>
      <c r="B240" s="3" t="s">
        <v>281</v>
      </c>
      <c r="C240" s="0" t="n">
        <v>1</v>
      </c>
      <c r="D240" s="0" t="n">
        <v>118.1</v>
      </c>
      <c r="E240" s="0" t="n">
        <v>0</v>
      </c>
      <c r="F240" s="0" t="n">
        <v>0</v>
      </c>
      <c r="G240" s="0" t="n">
        <v>5.6</v>
      </c>
      <c r="H240" s="0" t="n">
        <v>0</v>
      </c>
      <c r="I240" s="0" t="n">
        <v>0</v>
      </c>
      <c r="J240" s="0" t="n">
        <v>0</v>
      </c>
      <c r="K240" s="0" t="n">
        <v>-35.3632621</v>
      </c>
      <c r="L240" s="0" t="n">
        <v>149.1652374</v>
      </c>
      <c r="M240" s="0" t="n">
        <v>0</v>
      </c>
      <c r="N240" s="3" t="n">
        <f aca="false">(A240-$A$2)*86400</f>
        <v>251.985000399</v>
      </c>
      <c r="O240" s="3" t="n">
        <f aca="false">D240*0.3048</f>
        <v>35.99688</v>
      </c>
      <c r="P240" s="3" t="n">
        <f aca="false">E240*0.44704</f>
        <v>0</v>
      </c>
      <c r="Q240" s="3" t="n">
        <f aca="false">F240*0.44704</f>
        <v>0</v>
      </c>
    </row>
    <row r="241" customFormat="false" ht="15" hidden="false" customHeight="false" outlineLevel="0" collapsed="false">
      <c r="A241" s="8" t="n">
        <v>46315.8942925</v>
      </c>
      <c r="B241" s="3" t="s">
        <v>282</v>
      </c>
      <c r="C241" s="0" t="n">
        <v>1</v>
      </c>
      <c r="D241" s="0" t="n">
        <v>120.2</v>
      </c>
      <c r="E241" s="0" t="n">
        <v>0</v>
      </c>
      <c r="F241" s="0" t="n">
        <v>0</v>
      </c>
      <c r="G241" s="0" t="n">
        <v>5.6</v>
      </c>
      <c r="H241" s="0" t="n">
        <v>0</v>
      </c>
      <c r="I241" s="0" t="n">
        <v>0</v>
      </c>
      <c r="J241" s="0" t="n">
        <v>0</v>
      </c>
      <c r="K241" s="0" t="n">
        <v>-35.3632621</v>
      </c>
      <c r="L241" s="0" t="n">
        <v>149.1652374</v>
      </c>
      <c r="M241" s="0" t="n">
        <v>0</v>
      </c>
      <c r="N241" s="3" t="n">
        <f aca="false">(A241-$A$2)*86400</f>
        <v>252.96999996</v>
      </c>
      <c r="O241" s="3" t="n">
        <f aca="false">D241*0.3048</f>
        <v>36.63696</v>
      </c>
      <c r="P241" s="3" t="n">
        <f aca="false">E241*0.44704</f>
        <v>0</v>
      </c>
      <c r="Q241" s="3" t="n">
        <f aca="false">F241*0.44704</f>
        <v>0</v>
      </c>
    </row>
    <row r="242" customFormat="false" ht="15" hidden="false" customHeight="false" outlineLevel="0" collapsed="false">
      <c r="A242" s="8" t="n">
        <v>46315.8943041898</v>
      </c>
      <c r="B242" s="3" t="s">
        <v>283</v>
      </c>
      <c r="C242" s="0" t="n">
        <v>1</v>
      </c>
      <c r="D242" s="0" t="n">
        <v>122.2</v>
      </c>
      <c r="E242" s="0" t="n">
        <v>0</v>
      </c>
      <c r="F242" s="0" t="n">
        <v>0</v>
      </c>
      <c r="G242" s="0" t="n">
        <v>5.6</v>
      </c>
      <c r="H242" s="0" t="n">
        <v>0</v>
      </c>
      <c r="I242" s="0" t="n">
        <v>0</v>
      </c>
      <c r="J242" s="0" t="n">
        <v>0</v>
      </c>
      <c r="K242" s="0" t="n">
        <v>-35.3632621</v>
      </c>
      <c r="L242" s="0" t="n">
        <v>149.1652374</v>
      </c>
      <c r="M242" s="0" t="n">
        <v>0</v>
      </c>
      <c r="N242" s="3" t="n">
        <f aca="false">(A242-$A$2)*86400</f>
        <v>253.980000014</v>
      </c>
      <c r="O242" s="3" t="n">
        <f aca="false">D242*0.3048</f>
        <v>37.24656</v>
      </c>
      <c r="P242" s="3" t="n">
        <f aca="false">E242*0.44704</f>
        <v>0</v>
      </c>
      <c r="Q242" s="3" t="n">
        <f aca="false">F242*0.44704</f>
        <v>0</v>
      </c>
    </row>
    <row r="243" customFormat="false" ht="15" hidden="false" customHeight="false" outlineLevel="0" collapsed="false">
      <c r="A243" s="8" t="n">
        <v>46315.8943160185</v>
      </c>
      <c r="B243" s="3" t="s">
        <v>284</v>
      </c>
      <c r="C243" s="0" t="n">
        <v>1</v>
      </c>
      <c r="D243" s="0" t="n">
        <v>122.2</v>
      </c>
      <c r="E243" s="0" t="n">
        <v>0</v>
      </c>
      <c r="F243" s="0" t="n">
        <v>0</v>
      </c>
      <c r="G243" s="0" t="n">
        <v>5.6</v>
      </c>
      <c r="H243" s="0" t="n">
        <v>0</v>
      </c>
      <c r="I243" s="0" t="n">
        <v>0</v>
      </c>
      <c r="J243" s="0" t="n">
        <v>0</v>
      </c>
      <c r="K243" s="0" t="n">
        <v>-35.3632621</v>
      </c>
      <c r="L243" s="0" t="n">
        <v>149.1652374</v>
      </c>
      <c r="M243" s="0" t="n">
        <v>0</v>
      </c>
      <c r="N243" s="3" t="n">
        <f aca="false">(A243-$A$2)*86400</f>
        <v>255.002000229</v>
      </c>
      <c r="O243" s="3" t="n">
        <f aca="false">D243*0.3048</f>
        <v>37.24656</v>
      </c>
      <c r="P243" s="3" t="n">
        <f aca="false">E243*0.44704</f>
        <v>0</v>
      </c>
      <c r="Q243" s="3" t="n">
        <f aca="false">F243*0.44704</f>
        <v>0</v>
      </c>
    </row>
    <row r="244" customFormat="false" ht="15" hidden="false" customHeight="false" outlineLevel="0" collapsed="false">
      <c r="A244" s="8" t="n">
        <v>46315.8943275347</v>
      </c>
      <c r="B244" s="3" t="s">
        <v>285</v>
      </c>
      <c r="C244" s="0" t="n">
        <v>1</v>
      </c>
      <c r="D244" s="0" t="n">
        <v>124.3</v>
      </c>
      <c r="E244" s="0" t="n">
        <v>0</v>
      </c>
      <c r="F244" s="0" t="n">
        <v>0</v>
      </c>
      <c r="G244" s="0" t="n">
        <v>5.6</v>
      </c>
      <c r="H244" s="0" t="n">
        <v>0</v>
      </c>
      <c r="I244" s="0" t="n">
        <v>0</v>
      </c>
      <c r="J244" s="0" t="n">
        <v>0</v>
      </c>
      <c r="K244" s="0" t="n">
        <v>-35.3632621</v>
      </c>
      <c r="L244" s="0" t="n">
        <v>149.1652374</v>
      </c>
      <c r="M244" s="0" t="n">
        <v>0</v>
      </c>
      <c r="N244" s="3" t="n">
        <f aca="false">(A244-$A$2)*86400</f>
        <v>255.99699961</v>
      </c>
      <c r="O244" s="3" t="n">
        <f aca="false">D244*0.3048</f>
        <v>37.88664</v>
      </c>
      <c r="P244" s="3" t="n">
        <f aca="false">E244*0.44704</f>
        <v>0</v>
      </c>
      <c r="Q244" s="3" t="n">
        <f aca="false">F244*0.44704</f>
        <v>0</v>
      </c>
    </row>
    <row r="245" customFormat="false" ht="15" hidden="false" customHeight="false" outlineLevel="0" collapsed="false">
      <c r="A245" s="8" t="n">
        <v>46315.8943402662</v>
      </c>
      <c r="B245" s="3" t="s">
        <v>286</v>
      </c>
      <c r="C245" s="0" t="n">
        <v>1</v>
      </c>
      <c r="D245" s="0" t="n">
        <v>126.3</v>
      </c>
      <c r="E245" s="0" t="n">
        <v>0</v>
      </c>
      <c r="F245" s="0" t="n">
        <v>0</v>
      </c>
      <c r="G245" s="0" t="n">
        <v>5.6</v>
      </c>
      <c r="H245" s="0" t="n">
        <v>0</v>
      </c>
      <c r="I245" s="0" t="n">
        <v>0</v>
      </c>
      <c r="J245" s="0" t="n">
        <v>0</v>
      </c>
      <c r="K245" s="0" t="n">
        <v>-35.3632621</v>
      </c>
      <c r="L245" s="0" t="n">
        <v>149.1652374</v>
      </c>
      <c r="M245" s="0" t="n">
        <v>0</v>
      </c>
      <c r="N245" s="3" t="n">
        <f aca="false">(A245-$A$2)*86400</f>
        <v>257.096999301</v>
      </c>
      <c r="O245" s="3" t="n">
        <f aca="false">D245*0.3048</f>
        <v>38.49624</v>
      </c>
      <c r="P245" s="3" t="n">
        <f aca="false">E245*0.44704</f>
        <v>0</v>
      </c>
      <c r="Q245" s="3" t="n">
        <f aca="false">F245*0.44704</f>
        <v>0</v>
      </c>
    </row>
    <row r="246" customFormat="false" ht="15" hidden="false" customHeight="false" outlineLevel="0" collapsed="false">
      <c r="A246" s="8" t="n">
        <v>46315.8943506481</v>
      </c>
      <c r="B246" s="3" t="s">
        <v>287</v>
      </c>
      <c r="C246" s="0" t="n">
        <v>1</v>
      </c>
      <c r="D246" s="0" t="n">
        <v>126.3</v>
      </c>
      <c r="E246" s="0" t="n">
        <v>0</v>
      </c>
      <c r="F246" s="0" t="n">
        <v>0</v>
      </c>
      <c r="G246" s="0" t="n">
        <v>5.6</v>
      </c>
      <c r="H246" s="0" t="n">
        <v>0</v>
      </c>
      <c r="I246" s="0" t="n">
        <v>0</v>
      </c>
      <c r="J246" s="0" t="n">
        <v>0</v>
      </c>
      <c r="K246" s="0" t="n">
        <v>-35.3632621</v>
      </c>
      <c r="L246" s="0" t="n">
        <v>149.1652374</v>
      </c>
      <c r="M246" s="0" t="n">
        <v>0</v>
      </c>
      <c r="N246" s="3" t="n">
        <f aca="false">(A246-$A$2)*86400</f>
        <v>257.993998937</v>
      </c>
      <c r="O246" s="3" t="n">
        <f aca="false">D246*0.3048</f>
        <v>38.49624</v>
      </c>
      <c r="P246" s="3" t="n">
        <f aca="false">E246*0.44704</f>
        <v>0</v>
      </c>
      <c r="Q246" s="3" t="n">
        <f aca="false">F246*0.44704</f>
        <v>0</v>
      </c>
    </row>
    <row r="247" customFormat="false" ht="15" hidden="false" customHeight="false" outlineLevel="0" collapsed="false">
      <c r="A247" s="8" t="n">
        <v>46315.8943624074</v>
      </c>
      <c r="B247" s="3" t="s">
        <v>288</v>
      </c>
      <c r="C247" s="0" t="n">
        <v>1</v>
      </c>
      <c r="D247" s="0" t="n">
        <v>128.4</v>
      </c>
      <c r="E247" s="0" t="n">
        <v>0</v>
      </c>
      <c r="F247" s="0" t="n">
        <v>0</v>
      </c>
      <c r="G247" s="0" t="n">
        <v>5.6</v>
      </c>
      <c r="H247" s="0" t="n">
        <v>0</v>
      </c>
      <c r="I247" s="0" t="n">
        <v>0</v>
      </c>
      <c r="J247" s="0" t="n">
        <v>0</v>
      </c>
      <c r="K247" s="0" t="n">
        <v>-35.3632621</v>
      </c>
      <c r="L247" s="0" t="n">
        <v>149.1652374</v>
      </c>
      <c r="M247" s="0" t="n">
        <v>0</v>
      </c>
      <c r="N247" s="3" t="n">
        <f aca="false">(A247-$A$2)*86400</f>
        <v>259.010000014</v>
      </c>
      <c r="O247" s="3" t="n">
        <f aca="false">D247*0.3048</f>
        <v>39.13632</v>
      </c>
      <c r="P247" s="3" t="n">
        <f aca="false">E247*0.44704</f>
        <v>0</v>
      </c>
      <c r="Q247" s="3" t="n">
        <f aca="false">F247*0.44704</f>
        <v>0</v>
      </c>
    </row>
    <row r="248" customFormat="false" ht="15" hidden="false" customHeight="false" outlineLevel="0" collapsed="false">
      <c r="A248" s="8" t="n">
        <v>46315.8943741782</v>
      </c>
      <c r="B248" s="3" t="s">
        <v>289</v>
      </c>
      <c r="C248" s="0" t="n">
        <v>1</v>
      </c>
      <c r="D248" s="0" t="n">
        <v>128.4</v>
      </c>
      <c r="E248" s="0" t="n">
        <v>0</v>
      </c>
      <c r="F248" s="0" t="n">
        <v>0</v>
      </c>
      <c r="G248" s="0" t="n">
        <v>5.6</v>
      </c>
      <c r="H248" s="0" t="n">
        <v>0</v>
      </c>
      <c r="I248" s="0" t="n">
        <v>0</v>
      </c>
      <c r="J248" s="0" t="n">
        <v>0</v>
      </c>
      <c r="K248" s="0" t="n">
        <v>-35.3632621</v>
      </c>
      <c r="L248" s="0" t="n">
        <v>149.1652374</v>
      </c>
      <c r="M248" s="0" t="n">
        <v>0</v>
      </c>
      <c r="N248" s="3" t="n">
        <f aca="false">(A248-$A$2)*86400</f>
        <v>260.027000005</v>
      </c>
      <c r="O248" s="3" t="n">
        <f aca="false">D248*0.3048</f>
        <v>39.13632</v>
      </c>
      <c r="P248" s="3" t="n">
        <f aca="false">E248*0.44704</f>
        <v>0</v>
      </c>
      <c r="Q248" s="3" t="n">
        <f aca="false">F248*0.44704</f>
        <v>0</v>
      </c>
    </row>
    <row r="249" customFormat="false" ht="15" hidden="false" customHeight="false" outlineLevel="0" collapsed="false">
      <c r="A249" s="8" t="n">
        <v>46315.8943852083</v>
      </c>
      <c r="B249" s="3" t="s">
        <v>290</v>
      </c>
      <c r="C249" s="0" t="n">
        <v>1</v>
      </c>
      <c r="D249" s="0" t="n">
        <v>130.4</v>
      </c>
      <c r="E249" s="0" t="n">
        <v>0</v>
      </c>
      <c r="F249" s="0" t="n">
        <v>0</v>
      </c>
      <c r="G249" s="0" t="n">
        <v>5.6</v>
      </c>
      <c r="H249" s="0" t="n">
        <v>0</v>
      </c>
      <c r="I249" s="0" t="n">
        <v>0</v>
      </c>
      <c r="J249" s="0" t="n">
        <v>0</v>
      </c>
      <c r="K249" s="0" t="n">
        <v>-35.3632621</v>
      </c>
      <c r="L249" s="0" t="n">
        <v>149.1652374</v>
      </c>
      <c r="M249" s="0" t="n">
        <v>0</v>
      </c>
      <c r="N249" s="3" t="n">
        <f aca="false">(A249-$A$2)*86400</f>
        <v>260.979999764</v>
      </c>
      <c r="O249" s="3" t="n">
        <f aca="false">D249*0.3048</f>
        <v>39.74592</v>
      </c>
      <c r="P249" s="3" t="n">
        <f aca="false">E249*0.44704</f>
        <v>0</v>
      </c>
      <c r="Q249" s="3" t="n">
        <f aca="false">F249*0.44704</f>
        <v>0</v>
      </c>
    </row>
    <row r="250" customFormat="false" ht="15" hidden="false" customHeight="false" outlineLevel="0" collapsed="false">
      <c r="A250" s="8" t="n">
        <v>46315.8943968634</v>
      </c>
      <c r="B250" s="3" t="s">
        <v>291</v>
      </c>
      <c r="C250" s="0" t="n">
        <v>1</v>
      </c>
      <c r="D250" s="0" t="n">
        <v>132.5</v>
      </c>
      <c r="E250" s="0" t="n">
        <v>0</v>
      </c>
      <c r="F250" s="0" t="n">
        <v>0</v>
      </c>
      <c r="G250" s="0" t="n">
        <v>5.6</v>
      </c>
      <c r="H250" s="0" t="n">
        <v>0</v>
      </c>
      <c r="I250" s="0" t="n">
        <v>0</v>
      </c>
      <c r="J250" s="0" t="n">
        <v>0</v>
      </c>
      <c r="K250" s="0" t="n">
        <v>-35.3632621</v>
      </c>
      <c r="L250" s="0" t="n">
        <v>149.1652374</v>
      </c>
      <c r="M250" s="0" t="n">
        <v>0</v>
      </c>
      <c r="N250" s="3" t="n">
        <f aca="false">(A250-$A$2)*86400</f>
        <v>261.986999935</v>
      </c>
      <c r="O250" s="3" t="n">
        <f aca="false">D250*0.3048</f>
        <v>40.386</v>
      </c>
      <c r="P250" s="3" t="n">
        <f aca="false">E250*0.44704</f>
        <v>0</v>
      </c>
      <c r="Q250" s="3" t="n">
        <f aca="false">F250*0.44704</f>
        <v>0</v>
      </c>
    </row>
    <row r="251" customFormat="false" ht="15" hidden="false" customHeight="false" outlineLevel="0" collapsed="false">
      <c r="A251" s="8" t="n">
        <v>46315.8944085301</v>
      </c>
      <c r="B251" s="3" t="s">
        <v>292</v>
      </c>
      <c r="C251" s="0" t="n">
        <v>1</v>
      </c>
      <c r="D251" s="0" t="n">
        <v>134.5</v>
      </c>
      <c r="E251" s="0" t="n">
        <v>0</v>
      </c>
      <c r="F251" s="0" t="n">
        <v>0</v>
      </c>
      <c r="G251" s="0" t="n">
        <v>5.6</v>
      </c>
      <c r="H251" s="0" t="n">
        <v>0</v>
      </c>
      <c r="I251" s="0" t="n">
        <v>0</v>
      </c>
      <c r="J251" s="0" t="n">
        <v>0</v>
      </c>
      <c r="K251" s="0" t="n">
        <v>-35.3632621</v>
      </c>
      <c r="L251" s="0" t="n">
        <v>149.1652374</v>
      </c>
      <c r="M251" s="0" t="n">
        <v>0</v>
      </c>
      <c r="N251" s="3" t="n">
        <f aca="false">(A251-$A$2)*86400</f>
        <v>262.994999648</v>
      </c>
      <c r="O251" s="3" t="n">
        <f aca="false">D251*0.3048</f>
        <v>40.9956</v>
      </c>
      <c r="P251" s="3" t="n">
        <f aca="false">E251*0.44704</f>
        <v>0</v>
      </c>
      <c r="Q251" s="3" t="n">
        <f aca="false">F251*0.44704</f>
        <v>0</v>
      </c>
    </row>
    <row r="252" customFormat="false" ht="15" hidden="false" customHeight="false" outlineLevel="0" collapsed="false">
      <c r="A252" s="8" t="n">
        <v>46315.894420162</v>
      </c>
      <c r="B252" s="3" t="s">
        <v>293</v>
      </c>
      <c r="C252" s="0" t="n">
        <v>1</v>
      </c>
      <c r="D252" s="0" t="n">
        <v>134.5</v>
      </c>
      <c r="E252" s="0" t="n">
        <v>0</v>
      </c>
      <c r="F252" s="0" t="n">
        <v>0</v>
      </c>
      <c r="G252" s="0" t="n">
        <v>5.6</v>
      </c>
      <c r="H252" s="0" t="n">
        <v>0</v>
      </c>
      <c r="I252" s="0" t="n">
        <v>0</v>
      </c>
      <c r="J252" s="0" t="n">
        <v>0</v>
      </c>
      <c r="K252" s="0" t="n">
        <v>-35.3632621</v>
      </c>
      <c r="L252" s="0" t="n">
        <v>149.1652374</v>
      </c>
      <c r="M252" s="0" t="n">
        <v>0</v>
      </c>
      <c r="N252" s="3" t="n">
        <f aca="false">(A252-$A$2)*86400</f>
        <v>264</v>
      </c>
      <c r="O252" s="3" t="n">
        <f aca="false">D252*0.3048</f>
        <v>40.9956</v>
      </c>
      <c r="P252" s="3" t="n">
        <f aca="false">E252*0.44704</f>
        <v>0</v>
      </c>
      <c r="Q252" s="3" t="n">
        <f aca="false">F252*0.44704</f>
        <v>0</v>
      </c>
    </row>
    <row r="253" customFormat="false" ht="15" hidden="false" customHeight="false" outlineLevel="0" collapsed="false">
      <c r="A253" s="8" t="n">
        <v>46315.894431713</v>
      </c>
      <c r="B253" s="3" t="s">
        <v>294</v>
      </c>
      <c r="C253" s="0" t="n">
        <v>1</v>
      </c>
      <c r="D253" s="0" t="n">
        <v>136.6</v>
      </c>
      <c r="E253" s="0" t="n">
        <v>0</v>
      </c>
      <c r="F253" s="0" t="n">
        <v>0</v>
      </c>
      <c r="G253" s="0" t="n">
        <v>5.6</v>
      </c>
      <c r="H253" s="0" t="n">
        <v>0</v>
      </c>
      <c r="I253" s="0" t="n">
        <v>0</v>
      </c>
      <c r="J253" s="0" t="n">
        <v>0</v>
      </c>
      <c r="K253" s="0" t="n">
        <v>-35.3632621</v>
      </c>
      <c r="L253" s="0" t="n">
        <v>149.1652374</v>
      </c>
      <c r="M253" s="0" t="n">
        <v>0</v>
      </c>
      <c r="N253" s="3" t="n">
        <f aca="false">(A253-$A$2)*86400</f>
        <v>264.99799937</v>
      </c>
      <c r="O253" s="3" t="n">
        <f aca="false">D253*0.3048</f>
        <v>41.63568</v>
      </c>
      <c r="P253" s="3" t="n">
        <f aca="false">E253*0.44704</f>
        <v>0</v>
      </c>
      <c r="Q253" s="3" t="n">
        <f aca="false">F253*0.44704</f>
        <v>0</v>
      </c>
    </row>
    <row r="254" customFormat="false" ht="15" hidden="false" customHeight="false" outlineLevel="0" collapsed="false">
      <c r="A254" s="8" t="n">
        <v>46315.8944434028</v>
      </c>
      <c r="B254" s="3" t="s">
        <v>295</v>
      </c>
      <c r="C254" s="0" t="n">
        <v>1</v>
      </c>
      <c r="D254" s="0" t="n">
        <v>138.6</v>
      </c>
      <c r="E254" s="0" t="n">
        <v>0</v>
      </c>
      <c r="F254" s="0" t="n">
        <v>0</v>
      </c>
      <c r="G254" s="0" t="n">
        <v>5.3</v>
      </c>
      <c r="H254" s="0" t="n">
        <v>0</v>
      </c>
      <c r="I254" s="0" t="n">
        <v>0</v>
      </c>
      <c r="J254" s="0" t="n">
        <v>0</v>
      </c>
      <c r="K254" s="0" t="n">
        <v>-35.3632621</v>
      </c>
      <c r="L254" s="0" t="n">
        <v>149.1652374</v>
      </c>
      <c r="M254" s="0" t="n">
        <v>0</v>
      </c>
      <c r="N254" s="3" t="n">
        <f aca="false">(A254-$A$2)*86400</f>
        <v>266.008000052</v>
      </c>
      <c r="O254" s="3" t="n">
        <f aca="false">D254*0.3048</f>
        <v>42.24528</v>
      </c>
      <c r="P254" s="3" t="n">
        <f aca="false">E254*0.44704</f>
        <v>0</v>
      </c>
      <c r="Q254" s="3" t="n">
        <f aca="false">F254*0.44704</f>
        <v>0</v>
      </c>
    </row>
    <row r="255" customFormat="false" ht="15" hidden="false" customHeight="false" outlineLevel="0" collapsed="false">
      <c r="A255" s="8" t="n">
        <v>46315.8944553704</v>
      </c>
      <c r="B255" s="3" t="s">
        <v>296</v>
      </c>
      <c r="C255" s="0" t="n">
        <v>1</v>
      </c>
      <c r="D255" s="0" t="n">
        <v>140.5</v>
      </c>
      <c r="E255" s="0" t="n">
        <v>0</v>
      </c>
      <c r="F255" s="0" t="n">
        <v>0</v>
      </c>
      <c r="G255" s="0" t="n">
        <v>4.9</v>
      </c>
      <c r="H255" s="0" t="n">
        <v>0</v>
      </c>
      <c r="I255" s="0" t="n">
        <v>0</v>
      </c>
      <c r="J255" s="0" t="n">
        <v>0</v>
      </c>
      <c r="K255" s="0" t="n">
        <v>-35.3632621</v>
      </c>
      <c r="L255" s="0" t="n">
        <v>149.1652374</v>
      </c>
      <c r="M255" s="0" t="n">
        <v>0</v>
      </c>
      <c r="N255" s="3" t="n">
        <f aca="false">(A255-$A$2)*86400</f>
        <v>267.0419998</v>
      </c>
      <c r="O255" s="3" t="n">
        <f aca="false">D255*0.3048</f>
        <v>42.8244</v>
      </c>
      <c r="P255" s="3" t="n">
        <f aca="false">E255*0.44704</f>
        <v>0</v>
      </c>
      <c r="Q255" s="3" t="n">
        <f aca="false">F255*0.44704</f>
        <v>0</v>
      </c>
    </row>
    <row r="256" customFormat="false" ht="15" hidden="false" customHeight="false" outlineLevel="0" collapsed="false">
      <c r="A256" s="8" t="n">
        <v>46315.8944663079</v>
      </c>
      <c r="B256" s="3" t="s">
        <v>297</v>
      </c>
      <c r="C256" s="0" t="n">
        <v>1</v>
      </c>
      <c r="D256" s="0" t="n">
        <v>140.5</v>
      </c>
      <c r="E256" s="0" t="n">
        <v>0</v>
      </c>
      <c r="F256" s="0" t="n">
        <v>0</v>
      </c>
      <c r="G256" s="0" t="n">
        <v>4.9</v>
      </c>
      <c r="H256" s="0" t="n">
        <v>0</v>
      </c>
      <c r="I256" s="0" t="n">
        <v>0</v>
      </c>
      <c r="J256" s="0" t="n">
        <v>0</v>
      </c>
      <c r="K256" s="0" t="n">
        <v>-35.3632621</v>
      </c>
      <c r="L256" s="0" t="n">
        <v>149.1652374</v>
      </c>
      <c r="M256" s="0" t="n">
        <v>0</v>
      </c>
      <c r="N256" s="3" t="n">
        <f aca="false">(A256-$A$2)*86400</f>
        <v>267.98700008</v>
      </c>
      <c r="O256" s="3" t="n">
        <f aca="false">D256*0.3048</f>
        <v>42.8244</v>
      </c>
      <c r="P256" s="3" t="n">
        <f aca="false">E256*0.44704</f>
        <v>0</v>
      </c>
      <c r="Q256" s="3" t="n">
        <f aca="false">F256*0.44704</f>
        <v>0</v>
      </c>
    </row>
    <row r="257" customFormat="false" ht="15" hidden="false" customHeight="false" outlineLevel="0" collapsed="false">
      <c r="A257" s="8" t="n">
        <v>46315.8944788426</v>
      </c>
      <c r="B257" s="3" t="s">
        <v>298</v>
      </c>
      <c r="C257" s="0" t="n">
        <v>1</v>
      </c>
      <c r="D257" s="0" t="n">
        <v>142.1</v>
      </c>
      <c r="E257" s="0" t="n">
        <v>0</v>
      </c>
      <c r="F257" s="0" t="n">
        <v>0</v>
      </c>
      <c r="G257" s="0" t="n">
        <v>4.3</v>
      </c>
      <c r="H257" s="0" t="n">
        <v>0</v>
      </c>
      <c r="I257" s="0" t="n">
        <v>0</v>
      </c>
      <c r="J257" s="0" t="n">
        <v>0</v>
      </c>
      <c r="K257" s="0" t="n">
        <v>-35.3632621</v>
      </c>
      <c r="L257" s="0" t="n">
        <v>149.1652374</v>
      </c>
      <c r="M257" s="0" t="n">
        <v>0</v>
      </c>
      <c r="N257" s="3" t="n">
        <f aca="false">(A257-$A$2)*86400</f>
        <v>269.069999386</v>
      </c>
      <c r="O257" s="3" t="n">
        <f aca="false">D257*0.3048</f>
        <v>43.31208</v>
      </c>
      <c r="P257" s="3" t="n">
        <f aca="false">E257*0.44704</f>
        <v>0</v>
      </c>
      <c r="Q257" s="3" t="n">
        <f aca="false">F257*0.44704</f>
        <v>0</v>
      </c>
    </row>
    <row r="258" customFormat="false" ht="15" hidden="false" customHeight="false" outlineLevel="0" collapsed="false">
      <c r="A258" s="8" t="n">
        <v>46315.8944900347</v>
      </c>
      <c r="B258" s="3" t="s">
        <v>299</v>
      </c>
      <c r="C258" s="0" t="n">
        <v>1</v>
      </c>
      <c r="D258" s="0" t="n">
        <v>143.6</v>
      </c>
      <c r="E258" s="0" t="n">
        <v>0</v>
      </c>
      <c r="F258" s="0" t="n">
        <v>0</v>
      </c>
      <c r="G258" s="0" t="n">
        <v>3.7</v>
      </c>
      <c r="H258" s="0" t="n">
        <v>0</v>
      </c>
      <c r="I258" s="0" t="n">
        <v>0</v>
      </c>
      <c r="J258" s="0" t="n">
        <v>0</v>
      </c>
      <c r="K258" s="0" t="n">
        <v>-35.3632621</v>
      </c>
      <c r="L258" s="0" t="n">
        <v>149.1652374</v>
      </c>
      <c r="M258" s="0" t="n">
        <v>0</v>
      </c>
      <c r="N258" s="3" t="n">
        <f aca="false">(A258-$A$2)*86400</f>
        <v>270.036999648</v>
      </c>
      <c r="O258" s="3" t="n">
        <f aca="false">D258*0.3048</f>
        <v>43.76928</v>
      </c>
      <c r="P258" s="3" t="n">
        <f aca="false">E258*0.44704</f>
        <v>0</v>
      </c>
      <c r="Q258" s="3" t="n">
        <f aca="false">F258*0.44704</f>
        <v>0</v>
      </c>
    </row>
    <row r="259" customFormat="false" ht="15" hidden="false" customHeight="false" outlineLevel="0" collapsed="false">
      <c r="A259" s="8" t="n">
        <v>46315.8945010532</v>
      </c>
      <c r="B259" s="3" t="s">
        <v>299</v>
      </c>
      <c r="C259" s="0" t="n">
        <v>1</v>
      </c>
      <c r="D259" s="0" t="n">
        <v>143.6</v>
      </c>
      <c r="E259" s="0" t="n">
        <v>0</v>
      </c>
      <c r="F259" s="0" t="n">
        <v>0</v>
      </c>
      <c r="G259" s="0" t="n">
        <v>3.7</v>
      </c>
      <c r="H259" s="0" t="n">
        <v>0</v>
      </c>
      <c r="I259" s="0" t="n">
        <v>0</v>
      </c>
      <c r="J259" s="0" t="n">
        <v>0</v>
      </c>
      <c r="K259" s="0" t="n">
        <v>-35.3632621</v>
      </c>
      <c r="L259" s="0" t="n">
        <v>149.1652374</v>
      </c>
      <c r="M259" s="0" t="n">
        <v>0</v>
      </c>
      <c r="N259" s="3" t="n">
        <f aca="false">(A259-$A$2)*86400</f>
        <v>270.988999865</v>
      </c>
      <c r="O259" s="3" t="n">
        <f aca="false">D259*0.3048</f>
        <v>43.76928</v>
      </c>
      <c r="P259" s="3" t="n">
        <f aca="false">E259*0.44704</f>
        <v>0</v>
      </c>
      <c r="Q259" s="3" t="n">
        <f aca="false">F259*0.44704</f>
        <v>0</v>
      </c>
    </row>
    <row r="260" customFormat="false" ht="15" hidden="false" customHeight="false" outlineLevel="0" collapsed="false">
      <c r="A260" s="8" t="n">
        <v>46315.8945135532</v>
      </c>
      <c r="B260" s="3" t="s">
        <v>300</v>
      </c>
      <c r="C260" s="0" t="n">
        <v>1</v>
      </c>
      <c r="D260" s="0" t="n">
        <v>144.8</v>
      </c>
      <c r="E260" s="0" t="n">
        <v>0</v>
      </c>
      <c r="F260" s="0" t="n">
        <v>0</v>
      </c>
      <c r="G260" s="0" t="n">
        <v>3.1</v>
      </c>
      <c r="H260" s="0" t="n">
        <v>0</v>
      </c>
      <c r="I260" s="0" t="n">
        <v>0</v>
      </c>
      <c r="J260" s="0" t="n">
        <v>0</v>
      </c>
      <c r="K260" s="0" t="n">
        <v>-35.3632621</v>
      </c>
      <c r="L260" s="0" t="n">
        <v>149.1652374</v>
      </c>
      <c r="M260" s="0" t="n">
        <v>0</v>
      </c>
      <c r="N260" s="3" t="n">
        <f aca="false">(A260-$A$2)*86400</f>
        <v>272.068999917</v>
      </c>
      <c r="O260" s="3" t="n">
        <f aca="false">D260*0.3048</f>
        <v>44.13504</v>
      </c>
      <c r="P260" s="3" t="n">
        <f aca="false">E260*0.44704</f>
        <v>0</v>
      </c>
      <c r="Q260" s="3" t="n">
        <f aca="false">F260*0.44704</f>
        <v>0</v>
      </c>
    </row>
    <row r="261" customFormat="false" ht="15" hidden="false" customHeight="false" outlineLevel="0" collapsed="false">
      <c r="A261" s="8" t="n">
        <v>46315.894524456</v>
      </c>
      <c r="B261" s="3" t="s">
        <v>301</v>
      </c>
      <c r="C261" s="0" t="n">
        <v>1</v>
      </c>
      <c r="D261" s="0" t="n">
        <v>145.8</v>
      </c>
      <c r="E261" s="0" t="n">
        <v>0</v>
      </c>
      <c r="F261" s="0" t="n">
        <v>0</v>
      </c>
      <c r="G261" s="0" t="n">
        <v>2.5</v>
      </c>
      <c r="H261" s="0" t="n">
        <v>0</v>
      </c>
      <c r="I261" s="0" t="n">
        <v>0</v>
      </c>
      <c r="J261" s="0" t="n">
        <v>0</v>
      </c>
      <c r="K261" s="0" t="n">
        <v>-35.3632621</v>
      </c>
      <c r="L261" s="0" t="n">
        <v>149.1652374</v>
      </c>
      <c r="M261" s="0" t="n">
        <v>0</v>
      </c>
      <c r="N261" s="3" t="n">
        <f aca="false">(A261-$A$2)*86400</f>
        <v>273.010999686</v>
      </c>
      <c r="O261" s="3" t="n">
        <f aca="false">D261*0.3048</f>
        <v>44.43984</v>
      </c>
      <c r="P261" s="3" t="n">
        <f aca="false">E261*0.44704</f>
        <v>0</v>
      </c>
      <c r="Q261" s="3" t="n">
        <f aca="false">F261*0.44704</f>
        <v>0</v>
      </c>
    </row>
    <row r="262" customFormat="false" ht="15" hidden="false" customHeight="false" outlineLevel="0" collapsed="false">
      <c r="A262" s="8" t="n">
        <v>46315.894536088</v>
      </c>
      <c r="B262" s="3" t="s">
        <v>301</v>
      </c>
      <c r="C262" s="0" t="n">
        <v>1</v>
      </c>
      <c r="D262" s="0" t="n">
        <v>145.8</v>
      </c>
      <c r="E262" s="0" t="n">
        <v>0</v>
      </c>
      <c r="F262" s="0" t="n">
        <v>0</v>
      </c>
      <c r="G262" s="0" t="n">
        <v>2.5</v>
      </c>
      <c r="H262" s="0" t="n">
        <v>0</v>
      </c>
      <c r="I262" s="0" t="n">
        <v>0</v>
      </c>
      <c r="J262" s="0" t="n">
        <v>0</v>
      </c>
      <c r="K262" s="0" t="n">
        <v>-35.3632621</v>
      </c>
      <c r="L262" s="0" t="n">
        <v>149.1652374</v>
      </c>
      <c r="M262" s="0" t="n">
        <v>0</v>
      </c>
      <c r="N262" s="3" t="n">
        <f aca="false">(A262-$A$2)*86400</f>
        <v>274.016000772</v>
      </c>
      <c r="O262" s="3" t="n">
        <f aca="false">D262*0.3048</f>
        <v>44.43984</v>
      </c>
      <c r="P262" s="3" t="n">
        <f aca="false">E262*0.44704</f>
        <v>0</v>
      </c>
      <c r="Q262" s="3" t="n">
        <f aca="false">F262*0.44704</f>
        <v>0</v>
      </c>
    </row>
    <row r="263" customFormat="false" ht="15" hidden="false" customHeight="false" outlineLevel="0" collapsed="false">
      <c r="A263" s="8" t="n">
        <v>46315.8945478009</v>
      </c>
      <c r="B263" s="3" t="s">
        <v>302</v>
      </c>
      <c r="C263" s="0" t="n">
        <v>1</v>
      </c>
      <c r="D263" s="0" t="n">
        <v>146.6</v>
      </c>
      <c r="E263" s="0" t="n">
        <v>0</v>
      </c>
      <c r="F263" s="0" t="n">
        <v>0</v>
      </c>
      <c r="G263" s="0" t="n">
        <v>1.9</v>
      </c>
      <c r="H263" s="0" t="n">
        <v>0</v>
      </c>
      <c r="I263" s="0" t="n">
        <v>0</v>
      </c>
      <c r="J263" s="0" t="n">
        <v>0</v>
      </c>
      <c r="K263" s="0" t="n">
        <v>-35.3632621</v>
      </c>
      <c r="L263" s="0" t="n">
        <v>149.1652374</v>
      </c>
      <c r="M263" s="0" t="n">
        <v>0</v>
      </c>
      <c r="N263" s="3" t="n">
        <f aca="false">(A263-$A$2)*86400</f>
        <v>275.02799991</v>
      </c>
      <c r="O263" s="3" t="n">
        <f aca="false">D263*0.3048</f>
        <v>44.68368</v>
      </c>
      <c r="P263" s="3" t="n">
        <f aca="false">E263*0.44704</f>
        <v>0</v>
      </c>
      <c r="Q263" s="3" t="n">
        <f aca="false">F263*0.44704</f>
        <v>0</v>
      </c>
    </row>
    <row r="264" customFormat="false" ht="15" hidden="false" customHeight="false" outlineLevel="0" collapsed="false">
      <c r="A264" s="8" t="n">
        <v>46315.8945590162</v>
      </c>
      <c r="B264" s="3" t="s">
        <v>303</v>
      </c>
      <c r="C264" s="0" t="n">
        <v>1</v>
      </c>
      <c r="D264" s="0" t="n">
        <v>147.2</v>
      </c>
      <c r="E264" s="0" t="n">
        <v>0</v>
      </c>
      <c r="F264" s="0" t="n">
        <v>0</v>
      </c>
      <c r="G264" s="0" t="n">
        <v>1.3</v>
      </c>
      <c r="H264" s="0" t="n">
        <v>0</v>
      </c>
      <c r="I264" s="0" t="n">
        <v>0</v>
      </c>
      <c r="J264" s="0" t="n">
        <v>0</v>
      </c>
      <c r="K264" s="0" t="n">
        <v>-35.3632621</v>
      </c>
      <c r="L264" s="0" t="n">
        <v>149.1652374</v>
      </c>
      <c r="M264" s="0" t="n">
        <v>0</v>
      </c>
      <c r="N264" s="3" t="n">
        <f aca="false">(A264-$A$2)*86400</f>
        <v>275.996999256</v>
      </c>
      <c r="O264" s="3" t="n">
        <f aca="false">D264*0.3048</f>
        <v>44.86656</v>
      </c>
      <c r="P264" s="3" t="n">
        <f aca="false">E264*0.44704</f>
        <v>0</v>
      </c>
      <c r="Q264" s="3" t="n">
        <f aca="false">F264*0.44704</f>
        <v>0</v>
      </c>
    </row>
    <row r="265" customFormat="false" ht="15" hidden="false" customHeight="false" outlineLevel="0" collapsed="false">
      <c r="A265" s="8" t="n">
        <v>46315.894571412</v>
      </c>
      <c r="B265" s="3" t="s">
        <v>304</v>
      </c>
      <c r="C265" s="0" t="n">
        <v>1</v>
      </c>
      <c r="D265" s="0" t="n">
        <v>147.2</v>
      </c>
      <c r="E265" s="0" t="n">
        <v>0</v>
      </c>
      <c r="F265" s="0" t="n">
        <v>0</v>
      </c>
      <c r="G265" s="0" t="n">
        <v>1.3</v>
      </c>
      <c r="H265" s="0" t="n">
        <v>0</v>
      </c>
      <c r="I265" s="0" t="n">
        <v>0</v>
      </c>
      <c r="J265" s="0" t="n">
        <v>0</v>
      </c>
      <c r="K265" s="0" t="n">
        <v>-35.3632621</v>
      </c>
      <c r="L265" s="0" t="n">
        <v>149.1652374</v>
      </c>
      <c r="M265" s="0" t="n">
        <v>0</v>
      </c>
      <c r="N265" s="3" t="n">
        <f aca="false">(A265-$A$2)*86400</f>
        <v>277.067999029</v>
      </c>
      <c r="O265" s="3" t="n">
        <f aca="false">D265*0.3048</f>
        <v>44.86656</v>
      </c>
      <c r="P265" s="3" t="n">
        <f aca="false">E265*0.44704</f>
        <v>0</v>
      </c>
      <c r="Q265" s="3" t="n">
        <f aca="false">F265*0.44704</f>
        <v>0</v>
      </c>
    </row>
    <row r="266" customFormat="false" ht="15" hidden="false" customHeight="false" outlineLevel="0" collapsed="false">
      <c r="A266" s="8" t="n">
        <v>46315.8945828125</v>
      </c>
      <c r="B266" s="3" t="s">
        <v>305</v>
      </c>
      <c r="C266" s="0" t="n">
        <v>1</v>
      </c>
      <c r="D266" s="0" t="n">
        <v>147.6</v>
      </c>
      <c r="E266" s="0" t="n">
        <v>0</v>
      </c>
      <c r="F266" s="0" t="n">
        <v>0</v>
      </c>
      <c r="G266" s="0" t="n">
        <v>0.8</v>
      </c>
      <c r="H266" s="0" t="n">
        <v>0</v>
      </c>
      <c r="I266" s="0" t="n">
        <v>0</v>
      </c>
      <c r="J266" s="0" t="n">
        <v>0</v>
      </c>
      <c r="K266" s="0" t="n">
        <v>-35.3632621</v>
      </c>
      <c r="L266" s="0" t="n">
        <v>149.1652374</v>
      </c>
      <c r="M266" s="0" t="n">
        <v>0</v>
      </c>
      <c r="N266" s="3" t="n">
        <f aca="false">(A266-$A$2)*86400</f>
        <v>278.052999847</v>
      </c>
      <c r="O266" s="3" t="n">
        <f aca="false">D266*0.3048</f>
        <v>44.98848</v>
      </c>
      <c r="P266" s="3" t="n">
        <f aca="false">E266*0.44704</f>
        <v>0</v>
      </c>
      <c r="Q266" s="3" t="n">
        <f aca="false">F266*0.44704</f>
        <v>0</v>
      </c>
    </row>
    <row r="267" customFormat="false" ht="15" hidden="false" customHeight="false" outlineLevel="0" collapsed="false">
      <c r="A267" s="8" t="n">
        <v>46315.8945936227</v>
      </c>
      <c r="B267" s="3" t="s">
        <v>306</v>
      </c>
      <c r="C267" s="0" t="n">
        <v>1</v>
      </c>
      <c r="D267" s="0" t="n">
        <v>147.6</v>
      </c>
      <c r="E267" s="0" t="n">
        <v>0</v>
      </c>
      <c r="F267" s="0" t="n">
        <v>0</v>
      </c>
      <c r="G267" s="0" t="n">
        <v>0.8</v>
      </c>
      <c r="H267" s="0" t="n">
        <v>0</v>
      </c>
      <c r="I267" s="0" t="n">
        <v>0</v>
      </c>
      <c r="J267" s="0" t="n">
        <v>0</v>
      </c>
      <c r="K267" s="0" t="n">
        <v>-35.3632621</v>
      </c>
      <c r="L267" s="0" t="n">
        <v>149.1652374</v>
      </c>
      <c r="M267" s="0" t="n">
        <v>0</v>
      </c>
      <c r="N267" s="3" t="n">
        <f aca="false">(A267-$A$2)*86400</f>
        <v>278.987000137</v>
      </c>
      <c r="O267" s="3" t="n">
        <f aca="false">D267*0.3048</f>
        <v>44.98848</v>
      </c>
      <c r="P267" s="3" t="n">
        <f aca="false">E267*0.44704</f>
        <v>0</v>
      </c>
      <c r="Q267" s="3" t="n">
        <f aca="false">F267*0.44704</f>
        <v>0</v>
      </c>
    </row>
    <row r="268" customFormat="false" ht="15" hidden="false" customHeight="false" outlineLevel="0" collapsed="false">
      <c r="A268" s="8" t="n">
        <v>46315.8946054745</v>
      </c>
      <c r="B268" s="3" t="s">
        <v>307</v>
      </c>
      <c r="C268" s="0" t="n">
        <v>2</v>
      </c>
      <c r="D268" s="0" t="n">
        <v>147.8</v>
      </c>
      <c r="E268" s="0" t="n">
        <v>0</v>
      </c>
      <c r="F268" s="0" t="n">
        <v>0</v>
      </c>
      <c r="G268" s="0" t="n">
        <v>0.2</v>
      </c>
      <c r="H268" s="0" t="n">
        <v>0</v>
      </c>
      <c r="I268" s="0" t="n">
        <v>0.1</v>
      </c>
      <c r="J268" s="0" t="n">
        <v>0</v>
      </c>
      <c r="K268" s="0" t="n">
        <v>-35.363262</v>
      </c>
      <c r="L268" s="0" t="n">
        <v>149.1652374</v>
      </c>
      <c r="M268" s="0" t="n">
        <v>0</v>
      </c>
      <c r="N268" s="3" t="n">
        <f aca="false">(A268-$A$2)*86400</f>
        <v>280.011000065</v>
      </c>
      <c r="O268" s="3" t="n">
        <f aca="false">D268*0.3048</f>
        <v>45.04944</v>
      </c>
      <c r="P268" s="3" t="n">
        <f aca="false">E268*0.44704</f>
        <v>0</v>
      </c>
      <c r="Q268" s="3" t="n">
        <f aca="false">F268*0.44704</f>
        <v>0</v>
      </c>
    </row>
    <row r="269" customFormat="false" ht="15" hidden="false" customHeight="false" outlineLevel="0" collapsed="false">
      <c r="A269" s="8" t="n">
        <v>46315.8946171991</v>
      </c>
      <c r="B269" s="3" t="s">
        <v>308</v>
      </c>
      <c r="C269" s="0" t="n">
        <v>2</v>
      </c>
      <c r="D269" s="0" t="n">
        <v>147.8</v>
      </c>
      <c r="E269" s="0" t="n">
        <v>0</v>
      </c>
      <c r="F269" s="0" t="n">
        <v>0</v>
      </c>
      <c r="G269" s="0" t="n">
        <v>-0.1</v>
      </c>
      <c r="H269" s="0" t="n">
        <v>-0.3</v>
      </c>
      <c r="I269" s="0" t="n">
        <v>0.2</v>
      </c>
      <c r="J269" s="0" t="n">
        <v>0</v>
      </c>
      <c r="K269" s="0" t="n">
        <v>-35.363262</v>
      </c>
      <c r="L269" s="0" t="n">
        <v>149.1652374</v>
      </c>
      <c r="M269" s="0" t="n">
        <v>0</v>
      </c>
      <c r="N269" s="3" t="n">
        <f aca="false">(A269-$A$2)*86400</f>
        <v>281.02400063</v>
      </c>
      <c r="O269" s="3" t="n">
        <f aca="false">D269*0.3048</f>
        <v>45.04944</v>
      </c>
      <c r="P269" s="3" t="n">
        <f aca="false">E269*0.44704</f>
        <v>0</v>
      </c>
      <c r="Q269" s="3" t="n">
        <f aca="false">F269*0.44704</f>
        <v>0</v>
      </c>
    </row>
    <row r="270" customFormat="false" ht="15" hidden="false" customHeight="false" outlineLevel="0" collapsed="false">
      <c r="A270" s="8" t="n">
        <v>46315.8946288657</v>
      </c>
      <c r="B270" s="3" t="s">
        <v>309</v>
      </c>
      <c r="C270" s="0" t="n">
        <v>2</v>
      </c>
      <c r="D270" s="0" t="n">
        <v>147.8</v>
      </c>
      <c r="E270" s="0" t="n">
        <v>0</v>
      </c>
      <c r="F270" s="0" t="n">
        <v>0</v>
      </c>
      <c r="G270" s="0" t="n">
        <v>-0.1</v>
      </c>
      <c r="H270" s="0" t="n">
        <v>-0.3</v>
      </c>
      <c r="I270" s="0" t="n">
        <v>0.2</v>
      </c>
      <c r="J270" s="0" t="n">
        <v>0</v>
      </c>
      <c r="K270" s="0" t="n">
        <v>-35.363262</v>
      </c>
      <c r="L270" s="0" t="n">
        <v>149.1652374</v>
      </c>
      <c r="M270" s="0" t="n">
        <v>0</v>
      </c>
      <c r="N270" s="3" t="n">
        <f aca="false">(A270-$A$2)*86400</f>
        <v>282.031999714</v>
      </c>
      <c r="O270" s="3" t="n">
        <f aca="false">D270*0.3048</f>
        <v>45.04944</v>
      </c>
      <c r="P270" s="3" t="n">
        <f aca="false">E270*0.44704</f>
        <v>0</v>
      </c>
      <c r="Q270" s="3" t="n">
        <f aca="false">F270*0.44704</f>
        <v>0</v>
      </c>
    </row>
    <row r="271" customFormat="false" ht="15" hidden="false" customHeight="false" outlineLevel="0" collapsed="false">
      <c r="A271" s="8" t="n">
        <v>46315.8946404745</v>
      </c>
      <c r="B271" s="3" t="s">
        <v>310</v>
      </c>
      <c r="C271" s="0" t="n">
        <v>2</v>
      </c>
      <c r="D271" s="0" t="n">
        <v>147.7</v>
      </c>
      <c r="E271" s="0" t="n">
        <v>0.1</v>
      </c>
      <c r="F271" s="0" t="n">
        <v>0.1</v>
      </c>
      <c r="G271" s="0" t="n">
        <v>-0.2</v>
      </c>
      <c r="H271" s="0" t="n">
        <v>-1.8</v>
      </c>
      <c r="I271" s="0" t="n">
        <v>-0.1</v>
      </c>
      <c r="J271" s="0" t="n">
        <v>0</v>
      </c>
      <c r="K271" s="0" t="n">
        <v>-35.363262</v>
      </c>
      <c r="L271" s="0" t="n">
        <v>149.1652374</v>
      </c>
      <c r="M271" s="0" t="n">
        <v>0</v>
      </c>
      <c r="N271" s="3" t="n">
        <f aca="false">(A271-$A$2)*86400</f>
        <v>283.034999831</v>
      </c>
      <c r="O271" s="3" t="n">
        <f aca="false">D271*0.3048</f>
        <v>45.01896</v>
      </c>
      <c r="P271" s="3" t="n">
        <f aca="false">E271*0.44704</f>
        <v>0.044704</v>
      </c>
      <c r="Q271" s="3" t="n">
        <f aca="false">F271*0.44704</f>
        <v>0.044704</v>
      </c>
    </row>
    <row r="272" customFormat="false" ht="15" hidden="false" customHeight="false" outlineLevel="0" collapsed="false">
      <c r="A272" s="8" t="n">
        <v>46315.8946519907</v>
      </c>
      <c r="B272" s="3" t="s">
        <v>311</v>
      </c>
      <c r="C272" s="0" t="n">
        <v>2</v>
      </c>
      <c r="D272" s="0" t="n">
        <v>147.7</v>
      </c>
      <c r="E272" s="0" t="n">
        <v>0.1</v>
      </c>
      <c r="F272" s="0" t="n">
        <v>0.1</v>
      </c>
      <c r="G272" s="0" t="n">
        <v>-0.2</v>
      </c>
      <c r="H272" s="0" t="n">
        <v>-1.8</v>
      </c>
      <c r="I272" s="0" t="n">
        <v>-0.1</v>
      </c>
      <c r="J272" s="0" t="n">
        <v>0</v>
      </c>
      <c r="K272" s="0" t="n">
        <v>-35.363262</v>
      </c>
      <c r="L272" s="0" t="n">
        <v>149.1652374</v>
      </c>
      <c r="M272" s="0" t="n">
        <v>0</v>
      </c>
      <c r="N272" s="3" t="n">
        <f aca="false">(A272-$A$2)*86400</f>
        <v>284.029999841</v>
      </c>
      <c r="O272" s="3" t="n">
        <f aca="false">D272*0.3048</f>
        <v>45.01896</v>
      </c>
      <c r="P272" s="3" t="n">
        <f aca="false">E272*0.44704</f>
        <v>0.044704</v>
      </c>
      <c r="Q272" s="3" t="n">
        <f aca="false">F272*0.44704</f>
        <v>0.044704</v>
      </c>
    </row>
    <row r="273" customFormat="false" ht="15" hidden="false" customHeight="false" outlineLevel="0" collapsed="false">
      <c r="A273" s="8" t="n">
        <v>46315.8946631134</v>
      </c>
      <c r="B273" s="3" t="s">
        <v>312</v>
      </c>
      <c r="C273" s="0" t="n">
        <v>2</v>
      </c>
      <c r="D273" s="0" t="n">
        <v>147.7</v>
      </c>
      <c r="E273" s="0" t="n">
        <v>0.2</v>
      </c>
      <c r="F273" s="0" t="n">
        <v>0.4</v>
      </c>
      <c r="G273" s="0" t="n">
        <v>-0.2</v>
      </c>
      <c r="H273" s="0" t="n">
        <v>-3.4</v>
      </c>
      <c r="I273" s="0" t="n">
        <v>-0.4</v>
      </c>
      <c r="J273" s="0" t="n">
        <v>0</v>
      </c>
      <c r="K273" s="0" t="n">
        <v>-35.363262</v>
      </c>
      <c r="L273" s="0" t="n">
        <v>149.1652373</v>
      </c>
      <c r="M273" s="0" t="n">
        <v>0.1</v>
      </c>
      <c r="N273" s="3" t="n">
        <f aca="false">(A273-$A$2)*86400</f>
        <v>284.990999079</v>
      </c>
      <c r="O273" s="3" t="n">
        <f aca="false">D273*0.3048</f>
        <v>45.01896</v>
      </c>
      <c r="P273" s="3" t="n">
        <f aca="false">E273*0.44704</f>
        <v>0.089408</v>
      </c>
      <c r="Q273" s="3" t="n">
        <f aca="false">F273*0.44704</f>
        <v>0.178816</v>
      </c>
    </row>
    <row r="274" customFormat="false" ht="15" hidden="false" customHeight="false" outlineLevel="0" collapsed="false">
      <c r="A274" s="8" t="n">
        <v>46315.8946748264</v>
      </c>
      <c r="B274" s="3" t="s">
        <v>313</v>
      </c>
      <c r="C274" s="0" t="n">
        <v>2</v>
      </c>
      <c r="D274" s="0" t="n">
        <v>147.6</v>
      </c>
      <c r="E274" s="0" t="n">
        <v>0.4</v>
      </c>
      <c r="F274" s="0" t="n">
        <v>0.7</v>
      </c>
      <c r="G274" s="0" t="n">
        <v>-0.1</v>
      </c>
      <c r="H274" s="0" t="n">
        <v>-4.5</v>
      </c>
      <c r="I274" s="0" t="n">
        <v>-1.2</v>
      </c>
      <c r="J274" s="0" t="n">
        <v>354</v>
      </c>
      <c r="K274" s="0" t="n">
        <v>-35.363262</v>
      </c>
      <c r="L274" s="0" t="n">
        <v>149.165237</v>
      </c>
      <c r="M274" s="0" t="n">
        <v>0.3</v>
      </c>
      <c r="N274" s="3" t="n">
        <f aca="false">(A274-$A$2)*86400</f>
        <v>286.003000102</v>
      </c>
      <c r="O274" s="3" t="n">
        <f aca="false">D274*0.3048</f>
        <v>44.98848</v>
      </c>
      <c r="P274" s="3" t="n">
        <f aca="false">E274*0.44704</f>
        <v>0.178816</v>
      </c>
      <c r="Q274" s="3" t="n">
        <f aca="false">F274*0.44704</f>
        <v>0.312928</v>
      </c>
    </row>
    <row r="275" customFormat="false" ht="15" hidden="false" customHeight="false" outlineLevel="0" collapsed="false">
      <c r="A275" s="8" t="n">
        <v>46315.894687419</v>
      </c>
      <c r="B275" s="3" t="s">
        <v>314</v>
      </c>
      <c r="C275" s="0" t="n">
        <v>2</v>
      </c>
      <c r="D275" s="0" t="n">
        <v>147.6</v>
      </c>
      <c r="E275" s="0" t="n">
        <v>0.4</v>
      </c>
      <c r="F275" s="0" t="n">
        <v>0.7</v>
      </c>
      <c r="G275" s="0" t="n">
        <v>-0.1</v>
      </c>
      <c r="H275" s="0" t="n">
        <v>-4.5</v>
      </c>
      <c r="I275" s="0" t="n">
        <v>-1.2</v>
      </c>
      <c r="J275" s="0" t="n">
        <v>354</v>
      </c>
      <c r="K275" s="0" t="n">
        <v>-35.363262</v>
      </c>
      <c r="L275" s="0" t="n">
        <v>149.165237</v>
      </c>
      <c r="M275" s="0" t="n">
        <v>0.3</v>
      </c>
      <c r="N275" s="3" t="n">
        <f aca="false">(A275-$A$2)*86400</f>
        <v>287.090999633</v>
      </c>
      <c r="O275" s="3" t="n">
        <f aca="false">D275*0.3048</f>
        <v>44.98848</v>
      </c>
      <c r="P275" s="3" t="n">
        <f aca="false">E275*0.44704</f>
        <v>0.178816</v>
      </c>
      <c r="Q275" s="3" t="n">
        <f aca="false">F275*0.44704</f>
        <v>0.312928</v>
      </c>
    </row>
    <row r="276" customFormat="false" ht="15" hidden="false" customHeight="false" outlineLevel="0" collapsed="false">
      <c r="A276" s="8" t="n">
        <v>46315.8946983333</v>
      </c>
      <c r="B276" s="3" t="s">
        <v>315</v>
      </c>
      <c r="C276" s="0" t="n">
        <v>2</v>
      </c>
      <c r="D276" s="0" t="n">
        <v>147.6</v>
      </c>
      <c r="E276" s="0" t="n">
        <v>0.7</v>
      </c>
      <c r="F276" s="0" t="n">
        <v>1.2</v>
      </c>
      <c r="G276" s="0" t="n">
        <v>0</v>
      </c>
      <c r="H276" s="0" t="n">
        <v>-4.9</v>
      </c>
      <c r="I276" s="0" t="n">
        <v>-2.8</v>
      </c>
      <c r="J276" s="0" t="n">
        <v>340</v>
      </c>
      <c r="K276" s="0" t="n">
        <v>-35.363262</v>
      </c>
      <c r="L276" s="0" t="n">
        <v>149.1652364</v>
      </c>
      <c r="M276" s="0" t="n">
        <v>0.7</v>
      </c>
      <c r="N276" s="3" t="n">
        <f aca="false">(A276-$A$2)*86400</f>
        <v>288.033999572</v>
      </c>
      <c r="O276" s="3" t="n">
        <f aca="false">D276*0.3048</f>
        <v>44.98848</v>
      </c>
      <c r="P276" s="3" t="n">
        <f aca="false">E276*0.44704</f>
        <v>0.312928</v>
      </c>
      <c r="Q276" s="3" t="n">
        <f aca="false">F276*0.44704</f>
        <v>0.536448</v>
      </c>
    </row>
    <row r="277" customFormat="false" ht="15" hidden="false" customHeight="false" outlineLevel="0" collapsed="false">
      <c r="A277" s="8" t="n">
        <v>46315.894709294</v>
      </c>
      <c r="B277" s="3" t="s">
        <v>316</v>
      </c>
      <c r="C277" s="0" t="n">
        <v>2</v>
      </c>
      <c r="D277" s="0" t="n">
        <v>147.6</v>
      </c>
      <c r="E277" s="0" t="n">
        <v>0.7</v>
      </c>
      <c r="F277" s="0" t="n">
        <v>1.2</v>
      </c>
      <c r="G277" s="0" t="n">
        <v>0</v>
      </c>
      <c r="H277" s="0" t="n">
        <v>-4.9</v>
      </c>
      <c r="I277" s="0" t="n">
        <v>-2.8</v>
      </c>
      <c r="J277" s="0" t="n">
        <v>340</v>
      </c>
      <c r="K277" s="0" t="n">
        <v>-35.363262</v>
      </c>
      <c r="L277" s="0" t="n">
        <v>149.1652364</v>
      </c>
      <c r="M277" s="0" t="n">
        <v>0.7</v>
      </c>
      <c r="N277" s="3" t="n">
        <f aca="false">(A277-$A$2)*86400</f>
        <v>288.980999565</v>
      </c>
      <c r="O277" s="3" t="n">
        <f aca="false">D277*0.3048</f>
        <v>44.98848</v>
      </c>
      <c r="P277" s="3" t="n">
        <f aca="false">E277*0.44704</f>
        <v>0.312928</v>
      </c>
      <c r="Q277" s="3" t="n">
        <f aca="false">F277*0.44704</f>
        <v>0.536448</v>
      </c>
    </row>
    <row r="278" customFormat="false" ht="15" hidden="false" customHeight="false" outlineLevel="0" collapsed="false">
      <c r="A278" s="8" t="n">
        <v>46315.8947206366</v>
      </c>
      <c r="B278" s="3" t="s">
        <v>317</v>
      </c>
      <c r="C278" s="0" t="n">
        <v>2</v>
      </c>
      <c r="D278" s="0" t="n">
        <v>147.6</v>
      </c>
      <c r="E278" s="0" t="n">
        <v>1.6</v>
      </c>
      <c r="F278" s="0" t="n">
        <v>1.8</v>
      </c>
      <c r="G278" s="0" t="n">
        <v>0</v>
      </c>
      <c r="H278" s="0" t="n">
        <v>-4.9</v>
      </c>
      <c r="I278" s="0" t="n">
        <v>-4.7</v>
      </c>
      <c r="J278" s="0" t="n">
        <v>326</v>
      </c>
      <c r="K278" s="0" t="n">
        <v>-35.3632618</v>
      </c>
      <c r="L278" s="0" t="n">
        <v>149.1652342</v>
      </c>
      <c r="M278" s="0" t="n">
        <v>1.3</v>
      </c>
      <c r="N278" s="3" t="n">
        <f aca="false">(A278-$A$2)*86400</f>
        <v>289.961000159</v>
      </c>
      <c r="O278" s="3" t="n">
        <f aca="false">D278*0.3048</f>
        <v>44.98848</v>
      </c>
      <c r="P278" s="3" t="n">
        <f aca="false">E278*0.44704</f>
        <v>0.715264</v>
      </c>
      <c r="Q278" s="3" t="n">
        <f aca="false">F278*0.44704</f>
        <v>0.804672</v>
      </c>
    </row>
    <row r="279" customFormat="false" ht="15" hidden="false" customHeight="false" outlineLevel="0" collapsed="false">
      <c r="A279" s="8" t="n">
        <v>46315.8947322685</v>
      </c>
      <c r="B279" s="3" t="s">
        <v>318</v>
      </c>
      <c r="C279" s="0" t="n">
        <v>2</v>
      </c>
      <c r="D279" s="0" t="n">
        <v>147.6</v>
      </c>
      <c r="E279" s="0" t="n">
        <v>2.1</v>
      </c>
      <c r="F279" s="0" t="n">
        <v>2.5</v>
      </c>
      <c r="G279" s="0" t="n">
        <v>0</v>
      </c>
      <c r="H279" s="0" t="n">
        <v>-4.2</v>
      </c>
      <c r="I279" s="0" t="n">
        <v>-6.6</v>
      </c>
      <c r="J279" s="0" t="n">
        <v>311</v>
      </c>
      <c r="K279" s="0" t="n">
        <v>-35.3632616</v>
      </c>
      <c r="L279" s="0" t="n">
        <v>149.1652325</v>
      </c>
      <c r="M279" s="0" t="n">
        <v>2</v>
      </c>
      <c r="N279" s="3" t="n">
        <f aca="false">(A279-$A$2)*86400</f>
        <v>290.965999988</v>
      </c>
      <c r="O279" s="3" t="n">
        <f aca="false">D279*0.3048</f>
        <v>44.98848</v>
      </c>
      <c r="P279" s="3" t="n">
        <f aca="false">E279*0.44704</f>
        <v>0.938784</v>
      </c>
      <c r="Q279" s="3" t="n">
        <f aca="false">F279*0.44704</f>
        <v>1.1176</v>
      </c>
    </row>
    <row r="280" customFormat="false" ht="15" hidden="false" customHeight="false" outlineLevel="0" collapsed="false">
      <c r="A280" s="8" t="n">
        <v>46315.8947443866</v>
      </c>
      <c r="B280" s="3" t="s">
        <v>319</v>
      </c>
      <c r="C280" s="0" t="n">
        <v>2</v>
      </c>
      <c r="D280" s="0" t="n">
        <v>147.6</v>
      </c>
      <c r="E280" s="0" t="n">
        <v>2.7</v>
      </c>
      <c r="F280" s="0" t="n">
        <v>3.3</v>
      </c>
      <c r="G280" s="0" t="n">
        <v>0</v>
      </c>
      <c r="H280" s="0" t="n">
        <v>-2.8</v>
      </c>
      <c r="I280" s="0" t="n">
        <v>-8.5</v>
      </c>
      <c r="J280" s="0" t="n">
        <v>296</v>
      </c>
      <c r="K280" s="0" t="n">
        <v>-35.3632613</v>
      </c>
      <c r="L280" s="0" t="n">
        <v>149.1652302</v>
      </c>
      <c r="M280" s="0" t="n">
        <v>3.1</v>
      </c>
      <c r="N280" s="3" t="n">
        <f aca="false">(A280-$A$2)*86400</f>
        <v>292.013000696</v>
      </c>
      <c r="O280" s="3" t="n">
        <f aca="false">D280*0.3048</f>
        <v>44.98848</v>
      </c>
      <c r="P280" s="3" t="n">
        <f aca="false">E280*0.44704</f>
        <v>1.207008</v>
      </c>
      <c r="Q280" s="3" t="n">
        <f aca="false">F280*0.44704</f>
        <v>1.475232</v>
      </c>
    </row>
    <row r="281" customFormat="false" ht="15" hidden="false" customHeight="false" outlineLevel="0" collapsed="false">
      <c r="A281" s="8" t="n">
        <v>46315.8947558218</v>
      </c>
      <c r="B281" s="3" t="s">
        <v>320</v>
      </c>
      <c r="C281" s="0" t="n">
        <v>2</v>
      </c>
      <c r="D281" s="0" t="n">
        <v>147.6</v>
      </c>
      <c r="E281" s="0" t="n">
        <v>3.3</v>
      </c>
      <c r="F281" s="0" t="n">
        <v>4.3</v>
      </c>
      <c r="G281" s="0" t="n">
        <v>0</v>
      </c>
      <c r="H281" s="0" t="n">
        <v>-0.8</v>
      </c>
      <c r="I281" s="0" t="n">
        <v>-9.9</v>
      </c>
      <c r="J281" s="0" t="n">
        <v>282</v>
      </c>
      <c r="K281" s="0" t="n">
        <v>-35.3632609</v>
      </c>
      <c r="L281" s="0" t="n">
        <v>149.1652272</v>
      </c>
      <c r="M281" s="0" t="n">
        <v>4.5</v>
      </c>
      <c r="N281" s="3" t="n">
        <f aca="false">(A281-$A$2)*86400</f>
        <v>293.00100014</v>
      </c>
      <c r="O281" s="3" t="n">
        <f aca="false">D281*0.3048</f>
        <v>44.98848</v>
      </c>
      <c r="P281" s="3" t="n">
        <f aca="false">E281*0.44704</f>
        <v>1.475232</v>
      </c>
      <c r="Q281" s="3" t="n">
        <f aca="false">F281*0.44704</f>
        <v>1.922272</v>
      </c>
    </row>
    <row r="282" customFormat="false" ht="15" hidden="false" customHeight="false" outlineLevel="0" collapsed="false">
      <c r="A282" s="8" t="n">
        <v>46315.8947675</v>
      </c>
      <c r="B282" s="3" t="s">
        <v>321</v>
      </c>
      <c r="C282" s="0" t="n">
        <v>2</v>
      </c>
      <c r="D282" s="0" t="n">
        <v>147.6</v>
      </c>
      <c r="E282" s="0" t="n">
        <v>3.3</v>
      </c>
      <c r="F282" s="0" t="n">
        <v>4.3</v>
      </c>
      <c r="G282" s="0" t="n">
        <v>0</v>
      </c>
      <c r="H282" s="0" t="n">
        <v>-0.8</v>
      </c>
      <c r="I282" s="0" t="n">
        <v>-9.9</v>
      </c>
      <c r="J282" s="0" t="n">
        <v>282</v>
      </c>
      <c r="K282" s="0" t="n">
        <v>-35.3632609</v>
      </c>
      <c r="L282" s="0" t="n">
        <v>149.1652272</v>
      </c>
      <c r="M282" s="0" t="n">
        <v>4.5</v>
      </c>
      <c r="N282" s="3" t="n">
        <f aca="false">(A282-$A$2)*86400</f>
        <v>294.010000023</v>
      </c>
      <c r="O282" s="3" t="n">
        <f aca="false">D282*0.3048</f>
        <v>44.98848</v>
      </c>
      <c r="P282" s="3" t="n">
        <f aca="false">E282*0.44704</f>
        <v>1.475232</v>
      </c>
      <c r="Q282" s="3" t="n">
        <f aca="false">F282*0.44704</f>
        <v>1.922272</v>
      </c>
    </row>
    <row r="283" customFormat="false" ht="15" hidden="false" customHeight="false" outlineLevel="0" collapsed="false">
      <c r="A283" s="8" t="n">
        <v>46315.8947786227</v>
      </c>
      <c r="B283" s="3" t="s">
        <v>322</v>
      </c>
      <c r="C283" s="0" t="n">
        <v>2</v>
      </c>
      <c r="D283" s="0" t="n">
        <v>147.6</v>
      </c>
      <c r="E283" s="0" t="n">
        <v>4.8</v>
      </c>
      <c r="F283" s="0" t="n">
        <v>5.2</v>
      </c>
      <c r="G283" s="0" t="n">
        <v>0</v>
      </c>
      <c r="H283" s="0" t="n">
        <v>-0.4</v>
      </c>
      <c r="I283" s="0" t="n">
        <v>-10.2</v>
      </c>
      <c r="J283" s="0" t="n">
        <v>278</v>
      </c>
      <c r="K283" s="0" t="n">
        <v>-35.3632601</v>
      </c>
      <c r="L283" s="0" t="n">
        <v>149.1652194</v>
      </c>
      <c r="M283" s="0" t="n">
        <v>6.2</v>
      </c>
      <c r="N283" s="3" t="n">
        <f aca="false">(A283-$A$2)*86400</f>
        <v>294.971000519</v>
      </c>
      <c r="O283" s="3" t="n">
        <f aca="false">D283*0.3048</f>
        <v>44.98848</v>
      </c>
      <c r="P283" s="3" t="n">
        <f aca="false">E283*0.44704</f>
        <v>2.145792</v>
      </c>
      <c r="Q283" s="3" t="n">
        <f aca="false">F283*0.44704</f>
        <v>2.324608</v>
      </c>
    </row>
    <row r="284" customFormat="false" ht="15" hidden="false" customHeight="false" outlineLevel="0" collapsed="false">
      <c r="A284" s="8" t="n">
        <v>46315.894790162</v>
      </c>
      <c r="B284" s="3" t="s">
        <v>323</v>
      </c>
      <c r="C284" s="0" t="n">
        <v>2</v>
      </c>
      <c r="D284" s="0" t="n">
        <v>147.6</v>
      </c>
      <c r="E284" s="0" t="n">
        <v>5.5</v>
      </c>
      <c r="F284" s="0" t="n">
        <v>6.1</v>
      </c>
      <c r="G284" s="0" t="n">
        <v>0</v>
      </c>
      <c r="H284" s="0" t="n">
        <v>-0.1</v>
      </c>
      <c r="I284" s="0" t="n">
        <v>-8.8</v>
      </c>
      <c r="J284" s="0" t="n">
        <v>277</v>
      </c>
      <c r="K284" s="0" t="n">
        <v>-35.3632595</v>
      </c>
      <c r="L284" s="0" t="n">
        <v>149.1652144</v>
      </c>
      <c r="M284" s="0" t="n">
        <v>8.3</v>
      </c>
      <c r="N284" s="3" t="n">
        <f aca="false">(A284-$A$2)*86400</f>
        <v>295.967998984</v>
      </c>
      <c r="O284" s="3" t="n">
        <f aca="false">D284*0.3048</f>
        <v>44.98848</v>
      </c>
      <c r="P284" s="3" t="n">
        <f aca="false">E284*0.44704</f>
        <v>2.45872</v>
      </c>
      <c r="Q284" s="3" t="n">
        <f aca="false">F284*0.44704</f>
        <v>2.726944</v>
      </c>
    </row>
    <row r="285" customFormat="false" ht="15" hidden="false" customHeight="false" outlineLevel="0" collapsed="false">
      <c r="A285" s="8" t="n">
        <v>46315.8948015162</v>
      </c>
      <c r="B285" s="3" t="s">
        <v>324</v>
      </c>
      <c r="C285" s="0" t="n">
        <v>2</v>
      </c>
      <c r="D285" s="0" t="n">
        <v>147.6</v>
      </c>
      <c r="E285" s="0" t="n">
        <v>6.2</v>
      </c>
      <c r="F285" s="0" t="n">
        <v>6.9</v>
      </c>
      <c r="G285" s="0" t="n">
        <v>0</v>
      </c>
      <c r="H285" s="0" t="n">
        <v>0.1</v>
      </c>
      <c r="I285" s="0" t="n">
        <v>-6.7</v>
      </c>
      <c r="J285" s="0" t="n">
        <v>276</v>
      </c>
      <c r="K285" s="0" t="n">
        <v>-35.3632588</v>
      </c>
      <c r="L285" s="0" t="n">
        <v>149.1652086</v>
      </c>
      <c r="M285" s="0" t="n">
        <v>10.7</v>
      </c>
      <c r="N285" s="3" t="n">
        <f aca="false">(A285-$A$2)*86400</f>
        <v>296.948999748</v>
      </c>
      <c r="O285" s="3" t="n">
        <f aca="false">D285*0.3048</f>
        <v>44.98848</v>
      </c>
      <c r="P285" s="3" t="n">
        <f aca="false">E285*0.44704</f>
        <v>2.771648</v>
      </c>
      <c r="Q285" s="3" t="n">
        <f aca="false">F285*0.44704</f>
        <v>3.084576</v>
      </c>
    </row>
    <row r="286" customFormat="false" ht="15" hidden="false" customHeight="false" outlineLevel="0" collapsed="false">
      <c r="A286" s="8" t="n">
        <v>46315.8948132292</v>
      </c>
      <c r="B286" s="3" t="s">
        <v>325</v>
      </c>
      <c r="C286" s="0" t="n">
        <v>2</v>
      </c>
      <c r="D286" s="0" t="n">
        <v>147.6</v>
      </c>
      <c r="E286" s="0" t="n">
        <v>6.8</v>
      </c>
      <c r="F286" s="0" t="n">
        <v>7.4</v>
      </c>
      <c r="G286" s="0" t="n">
        <v>0</v>
      </c>
      <c r="H286" s="0" t="n">
        <v>0.2</v>
      </c>
      <c r="I286" s="0" t="n">
        <v>-4.9</v>
      </c>
      <c r="J286" s="0" t="n">
        <v>276</v>
      </c>
      <c r="K286" s="0" t="n">
        <v>-35.3632581</v>
      </c>
      <c r="L286" s="0" t="n">
        <v>149.1652022</v>
      </c>
      <c r="M286" s="0" t="n">
        <v>13.4</v>
      </c>
      <c r="N286" s="3" t="n">
        <f aca="false">(A286-$A$2)*86400</f>
        <v>297.961000143</v>
      </c>
      <c r="O286" s="3" t="n">
        <f aca="false">D286*0.3048</f>
        <v>44.98848</v>
      </c>
      <c r="P286" s="3" t="n">
        <f aca="false">E286*0.44704</f>
        <v>3.039872</v>
      </c>
      <c r="Q286" s="3" t="n">
        <f aca="false">F286*0.44704</f>
        <v>3.308096</v>
      </c>
    </row>
    <row r="287" customFormat="false" ht="15" hidden="false" customHeight="false" outlineLevel="0" collapsed="false">
      <c r="A287" s="8" t="n">
        <v>46315.8948246991</v>
      </c>
      <c r="B287" s="3" t="s">
        <v>326</v>
      </c>
      <c r="C287" s="0" t="n">
        <v>2</v>
      </c>
      <c r="D287" s="0" t="n">
        <v>147.6</v>
      </c>
      <c r="E287" s="0" t="n">
        <v>7.6</v>
      </c>
      <c r="F287" s="0" t="n">
        <v>7.8</v>
      </c>
      <c r="G287" s="0" t="n">
        <v>0</v>
      </c>
      <c r="H287" s="0" t="n">
        <v>0.3</v>
      </c>
      <c r="I287" s="0" t="n">
        <v>-3.5</v>
      </c>
      <c r="J287" s="0" t="n">
        <v>276</v>
      </c>
      <c r="K287" s="0" t="n">
        <v>-35.3632566</v>
      </c>
      <c r="L287" s="0" t="n">
        <v>149.1651881</v>
      </c>
      <c r="M287" s="0" t="n">
        <v>16.1</v>
      </c>
      <c r="N287" s="3" t="n">
        <f aca="false">(A287-$A$2)*86400</f>
        <v>298.952000099</v>
      </c>
      <c r="O287" s="3" t="n">
        <f aca="false">D287*0.3048</f>
        <v>44.98848</v>
      </c>
      <c r="P287" s="3" t="n">
        <f aca="false">E287*0.44704</f>
        <v>3.397504</v>
      </c>
      <c r="Q287" s="3" t="n">
        <f aca="false">F287*0.44704</f>
        <v>3.486912</v>
      </c>
    </row>
    <row r="288" customFormat="false" ht="15" hidden="false" customHeight="false" outlineLevel="0" collapsed="false">
      <c r="A288" s="8" t="n">
        <v>46315.894836794</v>
      </c>
      <c r="B288" s="3" t="s">
        <v>327</v>
      </c>
      <c r="C288" s="0" t="n">
        <v>2</v>
      </c>
      <c r="D288" s="0" t="n">
        <v>147.6</v>
      </c>
      <c r="E288" s="0" t="n">
        <v>7.9</v>
      </c>
      <c r="F288" s="0" t="n">
        <v>8.1</v>
      </c>
      <c r="G288" s="0" t="n">
        <v>0</v>
      </c>
      <c r="H288" s="0" t="n">
        <v>0.3</v>
      </c>
      <c r="I288" s="0" t="n">
        <v>-2.4</v>
      </c>
      <c r="J288" s="0" t="n">
        <v>276</v>
      </c>
      <c r="K288" s="0" t="n">
        <v>-35.3632557</v>
      </c>
      <c r="L288" s="0" t="n">
        <v>149.1651805</v>
      </c>
      <c r="M288" s="0" t="n">
        <v>19.1</v>
      </c>
      <c r="N288" s="3" t="n">
        <f aca="false">(A288-$A$2)*86400</f>
        <v>299.996999837</v>
      </c>
      <c r="O288" s="3" t="n">
        <f aca="false">D288*0.3048</f>
        <v>44.98848</v>
      </c>
      <c r="P288" s="3" t="n">
        <f aca="false">E288*0.44704</f>
        <v>3.531616</v>
      </c>
      <c r="Q288" s="3" t="n">
        <f aca="false">F288*0.44704</f>
        <v>3.621024</v>
      </c>
    </row>
    <row r="289" customFormat="false" ht="15" hidden="false" customHeight="false" outlineLevel="0" collapsed="false">
      <c r="A289" s="8" t="n">
        <v>46315.894848125</v>
      </c>
      <c r="B289" s="3" t="s">
        <v>328</v>
      </c>
      <c r="C289" s="0" t="n">
        <v>2</v>
      </c>
      <c r="D289" s="0" t="n">
        <v>147.6</v>
      </c>
      <c r="E289" s="0" t="n">
        <v>8.1</v>
      </c>
      <c r="F289" s="0" t="n">
        <v>8.3</v>
      </c>
      <c r="G289" s="0" t="n">
        <v>0</v>
      </c>
      <c r="H289" s="0" t="n">
        <v>0.2</v>
      </c>
      <c r="I289" s="0" t="n">
        <v>-1.5</v>
      </c>
      <c r="J289" s="0" t="n">
        <v>276</v>
      </c>
      <c r="K289" s="0" t="n">
        <v>-35.3632548</v>
      </c>
      <c r="L289" s="0" t="n">
        <v>149.1651726</v>
      </c>
      <c r="M289" s="0" t="n">
        <v>22</v>
      </c>
      <c r="N289" s="3" t="n">
        <f aca="false">(A289-$A$2)*86400</f>
        <v>300.975999631</v>
      </c>
      <c r="O289" s="3" t="n">
        <f aca="false">D289*0.3048</f>
        <v>44.98848</v>
      </c>
      <c r="P289" s="3" t="n">
        <f aca="false">E289*0.44704</f>
        <v>3.621024</v>
      </c>
      <c r="Q289" s="3" t="n">
        <f aca="false">F289*0.44704</f>
        <v>3.710432</v>
      </c>
    </row>
    <row r="290" customFormat="false" ht="15" hidden="false" customHeight="false" outlineLevel="0" collapsed="false">
      <c r="A290" s="8" t="n">
        <v>46315.8948598264</v>
      </c>
      <c r="B290" s="3" t="s">
        <v>329</v>
      </c>
      <c r="C290" s="0" t="n">
        <v>2</v>
      </c>
      <c r="D290" s="0" t="n">
        <v>147.6</v>
      </c>
      <c r="E290" s="0" t="n">
        <v>8.2</v>
      </c>
      <c r="F290" s="0" t="n">
        <v>8.3</v>
      </c>
      <c r="G290" s="0" t="n">
        <v>0</v>
      </c>
      <c r="H290" s="0" t="n">
        <v>0.1</v>
      </c>
      <c r="I290" s="0" t="n">
        <v>-0.6</v>
      </c>
      <c r="J290" s="0" t="n">
        <v>277</v>
      </c>
      <c r="K290" s="0" t="n">
        <v>-35.3632539</v>
      </c>
      <c r="L290" s="0" t="n">
        <v>149.1651647</v>
      </c>
      <c r="M290" s="0" t="n">
        <v>25.1</v>
      </c>
      <c r="N290" s="3" t="n">
        <f aca="false">(A290-$A$2)*86400</f>
        <v>301.986999856</v>
      </c>
      <c r="O290" s="3" t="n">
        <f aca="false">D290*0.3048</f>
        <v>44.98848</v>
      </c>
      <c r="P290" s="3" t="n">
        <f aca="false">E290*0.44704</f>
        <v>3.665728</v>
      </c>
      <c r="Q290" s="3" t="n">
        <f aca="false">F290*0.44704</f>
        <v>3.710432</v>
      </c>
    </row>
    <row r="291" customFormat="false" ht="15" hidden="false" customHeight="false" outlineLevel="0" collapsed="false">
      <c r="A291" s="8" t="n">
        <v>46315.8948712037</v>
      </c>
      <c r="B291" s="3" t="s">
        <v>330</v>
      </c>
      <c r="C291" s="0" t="n">
        <v>2</v>
      </c>
      <c r="D291" s="0" t="n">
        <v>147.7</v>
      </c>
      <c r="E291" s="0" t="n">
        <v>8.4</v>
      </c>
      <c r="F291" s="0" t="n">
        <v>8.4</v>
      </c>
      <c r="G291" s="0" t="n">
        <v>0</v>
      </c>
      <c r="H291" s="0" t="n">
        <v>0.1</v>
      </c>
      <c r="I291" s="0" t="n">
        <v>0.3</v>
      </c>
      <c r="J291" s="0" t="n">
        <v>277</v>
      </c>
      <c r="K291" s="0" t="n">
        <v>-35.363252</v>
      </c>
      <c r="L291" s="0" t="n">
        <v>149.1651484</v>
      </c>
      <c r="M291" s="0" t="n">
        <v>28.2</v>
      </c>
      <c r="N291" s="3" t="n">
        <f aca="false">(A291-$A$2)*86400</f>
        <v>302.969999704</v>
      </c>
      <c r="O291" s="3" t="n">
        <f aca="false">D291*0.3048</f>
        <v>45.01896</v>
      </c>
      <c r="P291" s="3" t="n">
        <f aca="false">E291*0.44704</f>
        <v>3.755136</v>
      </c>
      <c r="Q291" s="3" t="n">
        <f aca="false">F291*0.44704</f>
        <v>3.755136</v>
      </c>
    </row>
    <row r="292" customFormat="false" ht="15" hidden="false" customHeight="false" outlineLevel="0" collapsed="false">
      <c r="A292" s="8" t="n">
        <v>46315.8948836806</v>
      </c>
      <c r="B292" s="3" t="s">
        <v>331</v>
      </c>
      <c r="C292" s="0" t="n">
        <v>2</v>
      </c>
      <c r="D292" s="0" t="n">
        <v>147.7</v>
      </c>
      <c r="E292" s="0" t="n">
        <v>8.3</v>
      </c>
      <c r="F292" s="0" t="n">
        <v>8.3</v>
      </c>
      <c r="G292" s="0" t="n">
        <v>0</v>
      </c>
      <c r="H292" s="0" t="n">
        <v>0</v>
      </c>
      <c r="I292" s="0" t="n">
        <v>0.3</v>
      </c>
      <c r="J292" s="0" t="n">
        <v>277</v>
      </c>
      <c r="K292" s="0" t="n">
        <v>-35.3632511</v>
      </c>
      <c r="L292" s="0" t="n">
        <v>149.1651403</v>
      </c>
      <c r="M292" s="0" t="n">
        <v>31.2</v>
      </c>
      <c r="N292" s="3" t="n">
        <f aca="false">(A292-$A$2)*86400</f>
        <v>304.048000043</v>
      </c>
      <c r="O292" s="3" t="n">
        <f aca="false">D292*0.3048</f>
        <v>45.01896</v>
      </c>
      <c r="P292" s="3" t="n">
        <f aca="false">E292*0.44704</f>
        <v>3.710432</v>
      </c>
      <c r="Q292" s="3" t="n">
        <f aca="false">F292*0.44704</f>
        <v>3.710432</v>
      </c>
    </row>
    <row r="293" customFormat="false" ht="15" hidden="false" customHeight="false" outlineLevel="0" collapsed="false">
      <c r="A293" s="8" t="n">
        <v>46315.8948941435</v>
      </c>
      <c r="B293" s="3" t="s">
        <v>331</v>
      </c>
      <c r="C293" s="0" t="n">
        <v>2</v>
      </c>
      <c r="D293" s="0" t="n">
        <v>147.7</v>
      </c>
      <c r="E293" s="0" t="n">
        <v>8.3</v>
      </c>
      <c r="F293" s="0" t="n">
        <v>8.3</v>
      </c>
      <c r="G293" s="0" t="n">
        <v>0</v>
      </c>
      <c r="H293" s="0" t="n">
        <v>0</v>
      </c>
      <c r="I293" s="0" t="n">
        <v>0.3</v>
      </c>
      <c r="J293" s="0" t="n">
        <v>277</v>
      </c>
      <c r="K293" s="0" t="n">
        <v>-35.3632511</v>
      </c>
      <c r="L293" s="0" t="n">
        <v>149.1651403</v>
      </c>
      <c r="M293" s="0" t="n">
        <v>31.2</v>
      </c>
      <c r="N293" s="3" t="n">
        <f aca="false">(A293-$A$2)*86400</f>
        <v>304.952000244</v>
      </c>
      <c r="O293" s="3" t="n">
        <f aca="false">D293*0.3048</f>
        <v>45.01896</v>
      </c>
      <c r="P293" s="3" t="n">
        <f aca="false">E293*0.44704</f>
        <v>3.710432</v>
      </c>
      <c r="Q293" s="3" t="n">
        <f aca="false">F293*0.44704</f>
        <v>3.710432</v>
      </c>
    </row>
    <row r="294" customFormat="false" ht="15" hidden="false" customHeight="false" outlineLevel="0" collapsed="false">
      <c r="A294" s="8" t="n">
        <v>46315.8949056713</v>
      </c>
      <c r="B294" s="3" t="s">
        <v>332</v>
      </c>
      <c r="C294" s="0" t="n">
        <v>2</v>
      </c>
      <c r="D294" s="0" t="n">
        <v>147.7</v>
      </c>
      <c r="E294" s="0" t="n">
        <v>8.3</v>
      </c>
      <c r="F294" s="0" t="n">
        <v>8.3</v>
      </c>
      <c r="G294" s="0" t="n">
        <v>0</v>
      </c>
      <c r="H294" s="0" t="n">
        <v>0</v>
      </c>
      <c r="I294" s="0" t="n">
        <v>-0.4</v>
      </c>
      <c r="J294" s="0" t="n">
        <v>277</v>
      </c>
      <c r="K294" s="0" t="n">
        <v>-35.3632501</v>
      </c>
      <c r="L294" s="0" t="n">
        <v>149.1651322</v>
      </c>
      <c r="M294" s="0" t="n">
        <v>34.2</v>
      </c>
      <c r="N294" s="3" t="n">
        <f aca="false">(A294-$A$2)*86400</f>
        <v>305.948000424</v>
      </c>
      <c r="O294" s="3" t="n">
        <f aca="false">D294*0.3048</f>
        <v>45.01896</v>
      </c>
      <c r="P294" s="3" t="n">
        <f aca="false">E294*0.44704</f>
        <v>3.710432</v>
      </c>
      <c r="Q294" s="3" t="n">
        <f aca="false">F294*0.44704</f>
        <v>3.710432</v>
      </c>
    </row>
    <row r="295" customFormat="false" ht="15" hidden="false" customHeight="false" outlineLevel="0" collapsed="false">
      <c r="A295" s="8" t="n">
        <v>46315.8949173032</v>
      </c>
      <c r="B295" s="3" t="s">
        <v>333</v>
      </c>
      <c r="C295" s="0" t="n">
        <v>2</v>
      </c>
      <c r="D295" s="0" t="n">
        <v>147.6</v>
      </c>
      <c r="E295" s="0" t="n">
        <v>8.3</v>
      </c>
      <c r="F295" s="0" t="n">
        <v>8.3</v>
      </c>
      <c r="G295" s="0" t="n">
        <v>0</v>
      </c>
      <c r="H295" s="0" t="n">
        <v>-0.1</v>
      </c>
      <c r="I295" s="0" t="n">
        <v>-1</v>
      </c>
      <c r="J295" s="0" t="n">
        <v>277</v>
      </c>
      <c r="K295" s="0" t="n">
        <v>-35.3632491</v>
      </c>
      <c r="L295" s="0" t="n">
        <v>149.1651241</v>
      </c>
      <c r="M295" s="0" t="n">
        <v>37.3</v>
      </c>
      <c r="N295" s="3" t="n">
        <f aca="false">(A295-$A$2)*86400</f>
        <v>306.952999625</v>
      </c>
      <c r="O295" s="3" t="n">
        <f aca="false">D295*0.3048</f>
        <v>44.98848</v>
      </c>
      <c r="P295" s="3" t="n">
        <f aca="false">E295*0.44704</f>
        <v>3.710432</v>
      </c>
      <c r="Q295" s="3" t="n">
        <f aca="false">F295*0.44704</f>
        <v>3.710432</v>
      </c>
    </row>
    <row r="296" customFormat="false" ht="15" hidden="false" customHeight="false" outlineLevel="0" collapsed="false">
      <c r="A296" s="8" t="n">
        <v>46315.8949290625</v>
      </c>
      <c r="B296" s="3" t="s">
        <v>334</v>
      </c>
      <c r="C296" s="0" t="n">
        <v>2</v>
      </c>
      <c r="D296" s="0" t="n">
        <v>147.6</v>
      </c>
      <c r="E296" s="0" t="n">
        <v>8.4</v>
      </c>
      <c r="F296" s="0" t="n">
        <v>8.4</v>
      </c>
      <c r="G296" s="0" t="n">
        <v>0</v>
      </c>
      <c r="H296" s="0" t="n">
        <v>-0.1</v>
      </c>
      <c r="I296" s="0" t="n">
        <v>-1.3</v>
      </c>
      <c r="J296" s="0" t="n">
        <v>277</v>
      </c>
      <c r="K296" s="0" t="n">
        <v>-35.3632471</v>
      </c>
      <c r="L296" s="0" t="n">
        <v>149.1651079</v>
      </c>
      <c r="M296" s="0" t="n">
        <v>40.4</v>
      </c>
      <c r="N296" s="3" t="n">
        <f aca="false">(A296-$A$2)*86400</f>
        <v>307.969000074</v>
      </c>
      <c r="O296" s="3" t="n">
        <f aca="false">D296*0.3048</f>
        <v>44.98848</v>
      </c>
      <c r="P296" s="3" t="n">
        <f aca="false">E296*0.44704</f>
        <v>3.755136</v>
      </c>
      <c r="Q296" s="3" t="n">
        <f aca="false">F296*0.44704</f>
        <v>3.755136</v>
      </c>
    </row>
    <row r="297" customFormat="false" ht="15" hidden="false" customHeight="false" outlineLevel="0" collapsed="false">
      <c r="A297" s="8" t="n">
        <v>46315.8949407523</v>
      </c>
      <c r="B297" s="3" t="s">
        <v>335</v>
      </c>
      <c r="C297" s="0" t="n">
        <v>2</v>
      </c>
      <c r="D297" s="0" t="n">
        <v>147.6</v>
      </c>
      <c r="E297" s="0" t="n">
        <v>8.5</v>
      </c>
      <c r="F297" s="0" t="n">
        <v>8.6</v>
      </c>
      <c r="G297" s="0" t="n">
        <v>0</v>
      </c>
      <c r="H297" s="0" t="n">
        <v>-0.1</v>
      </c>
      <c r="I297" s="0" t="n">
        <v>-1.3</v>
      </c>
      <c r="J297" s="0" t="n">
        <v>277</v>
      </c>
      <c r="K297" s="0" t="n">
        <v>-35.3632462</v>
      </c>
      <c r="L297" s="0" t="n">
        <v>149.1650996</v>
      </c>
      <c r="M297" s="0" t="n">
        <v>43.5</v>
      </c>
      <c r="N297" s="3" t="n">
        <f aca="false">(A297-$A$2)*86400</f>
        <v>308.979000127</v>
      </c>
      <c r="O297" s="3" t="n">
        <f aca="false">D297*0.3048</f>
        <v>44.98848</v>
      </c>
      <c r="P297" s="3" t="n">
        <f aca="false">E297*0.44704</f>
        <v>3.79984</v>
      </c>
      <c r="Q297" s="3" t="n">
        <f aca="false">F297*0.44704</f>
        <v>3.844544</v>
      </c>
    </row>
    <row r="298" customFormat="false" ht="15" hidden="false" customHeight="false" outlineLevel="0" collapsed="false">
      <c r="A298" s="8" t="n">
        <v>46315.8949519792</v>
      </c>
      <c r="B298" s="3" t="s">
        <v>336</v>
      </c>
      <c r="C298" s="0" t="n">
        <v>2</v>
      </c>
      <c r="D298" s="0" t="n">
        <v>147.6</v>
      </c>
      <c r="E298" s="0" t="n">
        <v>8.6</v>
      </c>
      <c r="F298" s="0" t="n">
        <v>8.7</v>
      </c>
      <c r="G298" s="0" t="n">
        <v>0</v>
      </c>
      <c r="H298" s="0" t="n">
        <v>-0.1</v>
      </c>
      <c r="I298" s="0" t="n">
        <v>-1.2</v>
      </c>
      <c r="J298" s="0" t="n">
        <v>277</v>
      </c>
      <c r="K298" s="0" t="n">
        <v>-35.3632453</v>
      </c>
      <c r="L298" s="0" t="n">
        <v>149.1650914</v>
      </c>
      <c r="M298" s="0" t="n">
        <v>46.6</v>
      </c>
      <c r="N298" s="3" t="n">
        <f aca="false">(A298-$A$2)*86400</f>
        <v>309.948999015</v>
      </c>
      <c r="O298" s="3" t="n">
        <f aca="false">D298*0.3048</f>
        <v>44.98848</v>
      </c>
      <c r="P298" s="3" t="n">
        <f aca="false">E298*0.44704</f>
        <v>3.844544</v>
      </c>
      <c r="Q298" s="3" t="n">
        <f aca="false">F298*0.44704</f>
        <v>3.889248</v>
      </c>
    </row>
    <row r="299" customFormat="false" ht="15" hidden="false" customHeight="false" outlineLevel="0" collapsed="false">
      <c r="A299" s="8" t="n">
        <v>46315.8949636574</v>
      </c>
      <c r="B299" s="3" t="s">
        <v>337</v>
      </c>
      <c r="C299" s="0" t="n">
        <v>2</v>
      </c>
      <c r="D299" s="0" t="n">
        <v>147.6</v>
      </c>
      <c r="E299" s="0" t="n">
        <v>8.7</v>
      </c>
      <c r="F299" s="0" t="n">
        <v>8.8</v>
      </c>
      <c r="G299" s="0" t="n">
        <v>0</v>
      </c>
      <c r="H299" s="0" t="n">
        <v>0</v>
      </c>
      <c r="I299" s="0" t="n">
        <v>-0.9</v>
      </c>
      <c r="J299" s="0" t="n">
        <v>277</v>
      </c>
      <c r="K299" s="0" t="n">
        <v>-35.3632443</v>
      </c>
      <c r="L299" s="0" t="n">
        <v>149.1650829</v>
      </c>
      <c r="M299" s="0" t="n">
        <v>49.8</v>
      </c>
      <c r="N299" s="3" t="n">
        <f aca="false">(A299-$A$2)*86400</f>
        <v>310.958000156</v>
      </c>
      <c r="O299" s="3" t="n">
        <f aca="false">D299*0.3048</f>
        <v>44.98848</v>
      </c>
      <c r="P299" s="3" t="n">
        <f aca="false">E299*0.44704</f>
        <v>3.889248</v>
      </c>
      <c r="Q299" s="3" t="n">
        <f aca="false">F299*0.44704</f>
        <v>3.933952</v>
      </c>
    </row>
    <row r="300" customFormat="false" ht="15" hidden="false" customHeight="false" outlineLevel="0" collapsed="false">
      <c r="A300" s="8" t="n">
        <v>46315.8949754861</v>
      </c>
      <c r="B300" s="3" t="s">
        <v>338</v>
      </c>
      <c r="C300" s="0" t="n">
        <v>2</v>
      </c>
      <c r="D300" s="0" t="n">
        <v>147.6</v>
      </c>
      <c r="E300" s="0" t="n">
        <v>8.8</v>
      </c>
      <c r="F300" s="0" t="n">
        <v>8.8</v>
      </c>
      <c r="G300" s="0" t="n">
        <v>0</v>
      </c>
      <c r="H300" s="0" t="n">
        <v>0</v>
      </c>
      <c r="I300" s="0" t="n">
        <v>-0.7</v>
      </c>
      <c r="J300" s="0" t="n">
        <v>277</v>
      </c>
      <c r="K300" s="0" t="n">
        <v>-35.3632422</v>
      </c>
      <c r="L300" s="0" t="n">
        <v>149.1650659</v>
      </c>
      <c r="M300" s="0" t="n">
        <v>53.1</v>
      </c>
      <c r="N300" s="3" t="n">
        <f aca="false">(A300-$A$2)*86400</f>
        <v>311.979999742</v>
      </c>
      <c r="O300" s="3" t="n">
        <f aca="false">D300*0.3048</f>
        <v>44.98848</v>
      </c>
      <c r="P300" s="3" t="n">
        <f aca="false">E300*0.44704</f>
        <v>3.933952</v>
      </c>
      <c r="Q300" s="3" t="n">
        <f aca="false">F300*0.44704</f>
        <v>3.933952</v>
      </c>
    </row>
    <row r="301" customFormat="false" ht="15" hidden="false" customHeight="false" outlineLevel="0" collapsed="false">
      <c r="A301" s="8" t="n">
        <v>46315.8949868171</v>
      </c>
      <c r="B301" s="3" t="s">
        <v>339</v>
      </c>
      <c r="C301" s="0" t="n">
        <v>2</v>
      </c>
      <c r="D301" s="0" t="n">
        <v>147.6</v>
      </c>
      <c r="E301" s="0" t="n">
        <v>8.8</v>
      </c>
      <c r="F301" s="0" t="n">
        <v>8.9</v>
      </c>
      <c r="G301" s="0" t="n">
        <v>0</v>
      </c>
      <c r="H301" s="0" t="n">
        <v>0</v>
      </c>
      <c r="I301" s="0" t="n">
        <v>-0.5</v>
      </c>
      <c r="J301" s="0" t="n">
        <v>277</v>
      </c>
      <c r="K301" s="0" t="n">
        <v>-35.3632413</v>
      </c>
      <c r="L301" s="0" t="n">
        <v>149.1650573</v>
      </c>
      <c r="M301" s="0" t="n">
        <v>56.3</v>
      </c>
      <c r="N301" s="3" t="n">
        <f aca="false">(A301-$A$2)*86400</f>
        <v>312.959000165</v>
      </c>
      <c r="O301" s="3" t="n">
        <f aca="false">D301*0.3048</f>
        <v>44.98848</v>
      </c>
      <c r="P301" s="3" t="n">
        <f aca="false">E301*0.44704</f>
        <v>3.933952</v>
      </c>
      <c r="Q301" s="3" t="n">
        <f aca="false">F301*0.44704</f>
        <v>3.978656</v>
      </c>
    </row>
    <row r="302" customFormat="false" ht="15" hidden="false" customHeight="false" outlineLevel="0" collapsed="false">
      <c r="A302" s="8" t="n">
        <v>46315.894998287</v>
      </c>
      <c r="B302" s="3" t="s">
        <v>340</v>
      </c>
      <c r="C302" s="0" t="n">
        <v>2</v>
      </c>
      <c r="D302" s="0" t="n">
        <v>147.6</v>
      </c>
      <c r="E302" s="0" t="n">
        <v>8.9</v>
      </c>
      <c r="F302" s="0" t="n">
        <v>8.9</v>
      </c>
      <c r="G302" s="0" t="n">
        <v>0</v>
      </c>
      <c r="H302" s="0" t="n">
        <v>0</v>
      </c>
      <c r="I302" s="0" t="n">
        <v>-0.3</v>
      </c>
      <c r="J302" s="0" t="n">
        <v>277</v>
      </c>
      <c r="K302" s="0" t="n">
        <v>-35.3632403</v>
      </c>
      <c r="L302" s="0" t="n">
        <v>149.1650487</v>
      </c>
      <c r="M302" s="0" t="n">
        <v>59.5</v>
      </c>
      <c r="N302" s="3" t="n">
        <f aca="false">(A302-$A$2)*86400</f>
        <v>313.950000121</v>
      </c>
      <c r="O302" s="3" t="n">
        <f aca="false">D302*0.3048</f>
        <v>44.98848</v>
      </c>
      <c r="P302" s="3" t="n">
        <f aca="false">E302*0.44704</f>
        <v>3.978656</v>
      </c>
      <c r="Q302" s="3" t="n">
        <f aca="false">F302*0.44704</f>
        <v>3.978656</v>
      </c>
    </row>
    <row r="303" customFormat="false" ht="15" hidden="false" customHeight="false" outlineLevel="0" collapsed="false">
      <c r="A303" s="8" t="n">
        <v>46315.8950102315</v>
      </c>
      <c r="B303" s="3" t="s">
        <v>341</v>
      </c>
      <c r="C303" s="0" t="n">
        <v>2</v>
      </c>
      <c r="D303" s="0" t="n">
        <v>147.6</v>
      </c>
      <c r="E303" s="0" t="n">
        <v>8.9</v>
      </c>
      <c r="F303" s="0" t="n">
        <v>8.9</v>
      </c>
      <c r="G303" s="0" t="n">
        <v>0</v>
      </c>
      <c r="H303" s="0" t="n">
        <v>0</v>
      </c>
      <c r="I303" s="0" t="n">
        <v>-0.1</v>
      </c>
      <c r="J303" s="0" t="n">
        <v>277</v>
      </c>
      <c r="K303" s="0" t="n">
        <v>-35.3632394</v>
      </c>
      <c r="L303" s="0" t="n">
        <v>149.16504</v>
      </c>
      <c r="M303" s="0" t="n">
        <v>62.8</v>
      </c>
      <c r="N303" s="3" t="n">
        <f aca="false">(A303-$A$2)*86400</f>
        <v>314.981999527</v>
      </c>
      <c r="O303" s="3" t="n">
        <f aca="false">D303*0.3048</f>
        <v>44.98848</v>
      </c>
      <c r="P303" s="3" t="n">
        <f aca="false">E303*0.44704</f>
        <v>3.978656</v>
      </c>
      <c r="Q303" s="3" t="n">
        <f aca="false">F303*0.44704</f>
        <v>3.978656</v>
      </c>
    </row>
    <row r="304" customFormat="false" ht="15" hidden="false" customHeight="false" outlineLevel="0" collapsed="false">
      <c r="A304" s="8" t="n">
        <v>46315.8950220486</v>
      </c>
      <c r="B304" s="3" t="s">
        <v>341</v>
      </c>
      <c r="C304" s="0" t="n">
        <v>2</v>
      </c>
      <c r="D304" s="0" t="n">
        <v>147.6</v>
      </c>
      <c r="E304" s="0" t="n">
        <v>8.9</v>
      </c>
      <c r="F304" s="0" t="n">
        <v>8.9</v>
      </c>
      <c r="G304" s="0" t="n">
        <v>0</v>
      </c>
      <c r="H304" s="0" t="n">
        <v>0</v>
      </c>
      <c r="I304" s="0" t="n">
        <v>-0.1</v>
      </c>
      <c r="J304" s="0" t="n">
        <v>277</v>
      </c>
      <c r="K304" s="0" t="n">
        <v>-35.3632374</v>
      </c>
      <c r="L304" s="0" t="n">
        <v>149.1650226</v>
      </c>
      <c r="M304" s="0" t="n">
        <v>66</v>
      </c>
      <c r="N304" s="3" t="n">
        <f aca="false">(A304-$A$2)*86400</f>
        <v>316.002999572</v>
      </c>
      <c r="O304" s="3" t="n">
        <f aca="false">D304*0.3048</f>
        <v>44.98848</v>
      </c>
      <c r="P304" s="3" t="n">
        <f aca="false">E304*0.44704</f>
        <v>3.978656</v>
      </c>
      <c r="Q304" s="3" t="n">
        <f aca="false">F304*0.44704</f>
        <v>3.978656</v>
      </c>
    </row>
    <row r="305" customFormat="false" ht="15" hidden="false" customHeight="false" outlineLevel="0" collapsed="false">
      <c r="A305" s="8" t="n">
        <v>46315.8950331944</v>
      </c>
      <c r="B305" s="3" t="s">
        <v>342</v>
      </c>
      <c r="C305" s="0" t="n">
        <v>2</v>
      </c>
      <c r="D305" s="0" t="n">
        <v>147.6</v>
      </c>
      <c r="E305" s="0" t="n">
        <v>8.9</v>
      </c>
      <c r="F305" s="0" t="n">
        <v>8.9</v>
      </c>
      <c r="G305" s="0" t="n">
        <v>0</v>
      </c>
      <c r="H305" s="0" t="n">
        <v>0</v>
      </c>
      <c r="I305" s="0" t="n">
        <v>-0.1</v>
      </c>
      <c r="J305" s="0" t="n">
        <v>277</v>
      </c>
      <c r="K305" s="0" t="n">
        <v>-35.3632374</v>
      </c>
      <c r="L305" s="0" t="n">
        <v>149.1650226</v>
      </c>
      <c r="M305" s="0" t="n">
        <v>66</v>
      </c>
      <c r="N305" s="3" t="n">
        <f aca="false">(A305-$A$2)*86400</f>
        <v>316.96599978</v>
      </c>
      <c r="O305" s="3" t="n">
        <f aca="false">D305*0.3048</f>
        <v>44.98848</v>
      </c>
      <c r="P305" s="3" t="n">
        <f aca="false">E305*0.44704</f>
        <v>3.978656</v>
      </c>
      <c r="Q305" s="3" t="n">
        <f aca="false">F305*0.44704</f>
        <v>3.978656</v>
      </c>
    </row>
    <row r="306" customFormat="false" ht="15" hidden="false" customHeight="false" outlineLevel="0" collapsed="false">
      <c r="A306" s="8" t="n">
        <v>46315.8950446065</v>
      </c>
      <c r="B306" s="3" t="s">
        <v>343</v>
      </c>
      <c r="C306" s="0" t="n">
        <v>2</v>
      </c>
      <c r="D306" s="0" t="n">
        <v>147.6</v>
      </c>
      <c r="E306" s="0" t="n">
        <v>8.9</v>
      </c>
      <c r="F306" s="0" t="n">
        <v>8.9</v>
      </c>
      <c r="G306" s="0" t="n">
        <v>0</v>
      </c>
      <c r="H306" s="0" t="n">
        <v>0</v>
      </c>
      <c r="I306" s="0" t="n">
        <v>0</v>
      </c>
      <c r="J306" s="0" t="n">
        <v>277</v>
      </c>
      <c r="K306" s="0" t="n">
        <v>-35.3632364</v>
      </c>
      <c r="L306" s="0" t="n">
        <v>149.1650139</v>
      </c>
      <c r="M306" s="0" t="n">
        <v>69.3</v>
      </c>
      <c r="N306" s="3" t="n">
        <f aca="false">(A306-$A$2)*86400</f>
        <v>317.951999511</v>
      </c>
      <c r="O306" s="3" t="n">
        <f aca="false">D306*0.3048</f>
        <v>44.98848</v>
      </c>
      <c r="P306" s="3" t="n">
        <f aca="false">E306*0.44704</f>
        <v>3.978656</v>
      </c>
      <c r="Q306" s="3" t="n">
        <f aca="false">F306*0.44704</f>
        <v>3.978656</v>
      </c>
    </row>
    <row r="307" customFormat="false" ht="15" hidden="false" customHeight="false" outlineLevel="0" collapsed="false">
      <c r="A307" s="8" t="n">
        <v>46315.8950561111</v>
      </c>
      <c r="B307" s="3" t="s">
        <v>344</v>
      </c>
      <c r="C307" s="0" t="n">
        <v>2</v>
      </c>
      <c r="D307" s="0" t="n">
        <v>147.6</v>
      </c>
      <c r="E307" s="0" t="n">
        <v>8.9</v>
      </c>
      <c r="F307" s="0" t="n">
        <v>8.9</v>
      </c>
      <c r="G307" s="0" t="n">
        <v>0</v>
      </c>
      <c r="H307" s="0" t="n">
        <v>0.1</v>
      </c>
      <c r="I307" s="0" t="n">
        <v>0</v>
      </c>
      <c r="J307" s="0" t="n">
        <v>277</v>
      </c>
      <c r="K307" s="0" t="n">
        <v>-35.3632354</v>
      </c>
      <c r="L307" s="0" t="n">
        <v>149.1650053</v>
      </c>
      <c r="M307" s="0" t="n">
        <v>72.6</v>
      </c>
      <c r="N307" s="3" t="n">
        <f aca="false">(A307-$A$2)*86400</f>
        <v>318.945999979</v>
      </c>
      <c r="O307" s="3" t="n">
        <f aca="false">D307*0.3048</f>
        <v>44.98848</v>
      </c>
      <c r="P307" s="3" t="n">
        <f aca="false">E307*0.44704</f>
        <v>3.978656</v>
      </c>
      <c r="Q307" s="3" t="n">
        <f aca="false">F307*0.44704</f>
        <v>3.978656</v>
      </c>
    </row>
    <row r="308" customFormat="false" ht="15" hidden="false" customHeight="false" outlineLevel="0" collapsed="false">
      <c r="A308" s="8" t="n">
        <v>46315.8950678125</v>
      </c>
      <c r="B308" s="3" t="s">
        <v>345</v>
      </c>
      <c r="C308" s="0" t="n">
        <v>2</v>
      </c>
      <c r="D308" s="0" t="n">
        <v>147.6</v>
      </c>
      <c r="E308" s="0" t="n">
        <v>8.9</v>
      </c>
      <c r="F308" s="0" t="n">
        <v>8.9</v>
      </c>
      <c r="G308" s="0" t="n">
        <v>0</v>
      </c>
      <c r="H308" s="0" t="n">
        <v>0</v>
      </c>
      <c r="I308" s="0" t="n">
        <v>-0.1</v>
      </c>
      <c r="J308" s="0" t="n">
        <v>277</v>
      </c>
      <c r="K308" s="0" t="n">
        <v>-35.3632343</v>
      </c>
      <c r="L308" s="0" t="n">
        <v>149.1649966</v>
      </c>
      <c r="M308" s="0" t="n">
        <v>75.8</v>
      </c>
      <c r="N308" s="3" t="n">
        <f aca="false">(A308-$A$2)*86400</f>
        <v>319.956999574</v>
      </c>
      <c r="O308" s="3" t="n">
        <f aca="false">D308*0.3048</f>
        <v>44.98848</v>
      </c>
      <c r="P308" s="3" t="n">
        <f aca="false">E308*0.44704</f>
        <v>3.978656</v>
      </c>
      <c r="Q308" s="3" t="n">
        <f aca="false">F308*0.44704</f>
        <v>3.978656</v>
      </c>
    </row>
    <row r="309" customFormat="false" ht="15" hidden="false" customHeight="false" outlineLevel="0" collapsed="false">
      <c r="A309" s="8" t="n">
        <v>46315.8950793287</v>
      </c>
      <c r="B309" s="3" t="s">
        <v>346</v>
      </c>
      <c r="C309" s="0" t="n">
        <v>2</v>
      </c>
      <c r="D309" s="0" t="n">
        <v>147.6</v>
      </c>
      <c r="E309" s="0" t="n">
        <v>8.9</v>
      </c>
      <c r="F309" s="0" t="n">
        <v>8.9</v>
      </c>
      <c r="G309" s="0" t="n">
        <v>0</v>
      </c>
      <c r="H309" s="0" t="n">
        <v>0</v>
      </c>
      <c r="I309" s="0" t="n">
        <v>-0.1</v>
      </c>
      <c r="J309" s="0" t="n">
        <v>277</v>
      </c>
      <c r="K309" s="0" t="n">
        <v>-35.3632324</v>
      </c>
      <c r="L309" s="0" t="n">
        <v>149.1649793</v>
      </c>
      <c r="M309" s="0" t="n">
        <v>79.1</v>
      </c>
      <c r="N309" s="3" t="n">
        <f aca="false">(A309-$A$2)*86400</f>
        <v>320.951999584</v>
      </c>
      <c r="O309" s="3" t="n">
        <f aca="false">D309*0.3048</f>
        <v>44.98848</v>
      </c>
      <c r="P309" s="3" t="n">
        <f aca="false">E309*0.44704</f>
        <v>3.978656</v>
      </c>
      <c r="Q309" s="3" t="n">
        <f aca="false">F309*0.44704</f>
        <v>3.978656</v>
      </c>
    </row>
    <row r="310" customFormat="false" ht="15" hidden="false" customHeight="false" outlineLevel="0" collapsed="false">
      <c r="A310" s="8" t="n">
        <v>46315.8950908565</v>
      </c>
      <c r="B310" s="3" t="s">
        <v>347</v>
      </c>
      <c r="C310" s="0" t="n">
        <v>2</v>
      </c>
      <c r="D310" s="0" t="n">
        <v>147.6</v>
      </c>
      <c r="E310" s="0" t="n">
        <v>8.9</v>
      </c>
      <c r="F310" s="0" t="n">
        <v>8.9</v>
      </c>
      <c r="G310" s="0" t="n">
        <v>0</v>
      </c>
      <c r="H310" s="0" t="n">
        <v>0</v>
      </c>
      <c r="I310" s="0" t="n">
        <v>-0.1</v>
      </c>
      <c r="J310" s="0" t="n">
        <v>277</v>
      </c>
      <c r="K310" s="0" t="n">
        <v>-35.3632313</v>
      </c>
      <c r="L310" s="0" t="n">
        <v>149.1649707</v>
      </c>
      <c r="M310" s="0" t="n">
        <v>82.3</v>
      </c>
      <c r="N310" s="3" t="n">
        <f aca="false">(A310-$A$2)*86400</f>
        <v>321.947999764</v>
      </c>
      <c r="O310" s="3" t="n">
        <f aca="false">D310*0.3048</f>
        <v>44.98848</v>
      </c>
      <c r="P310" s="3" t="n">
        <f aca="false">E310*0.44704</f>
        <v>3.978656</v>
      </c>
      <c r="Q310" s="3" t="n">
        <f aca="false">F310*0.44704</f>
        <v>3.978656</v>
      </c>
    </row>
    <row r="311" customFormat="false" ht="15" hidden="false" customHeight="false" outlineLevel="0" collapsed="false">
      <c r="A311" s="8" t="n">
        <v>46315.8951023032</v>
      </c>
      <c r="B311" s="3" t="s">
        <v>348</v>
      </c>
      <c r="C311" s="0" t="n">
        <v>2</v>
      </c>
      <c r="D311" s="0" t="n">
        <v>147.6</v>
      </c>
      <c r="E311" s="0" t="n">
        <v>8.9</v>
      </c>
      <c r="F311" s="0" t="n">
        <v>8.9</v>
      </c>
      <c r="G311" s="0" t="n">
        <v>0</v>
      </c>
      <c r="H311" s="0" t="n">
        <v>0</v>
      </c>
      <c r="I311" s="0" t="n">
        <v>-0.2</v>
      </c>
      <c r="J311" s="0" t="n">
        <v>277</v>
      </c>
      <c r="K311" s="0" t="n">
        <v>-35.3632304</v>
      </c>
      <c r="L311" s="0" t="n">
        <v>149.164962</v>
      </c>
      <c r="M311" s="0" t="n">
        <v>85.6</v>
      </c>
      <c r="N311" s="3" t="n">
        <f aca="false">(A311-$A$2)*86400</f>
        <v>322.937000007</v>
      </c>
      <c r="O311" s="3" t="n">
        <f aca="false">D311*0.3048</f>
        <v>44.98848</v>
      </c>
      <c r="P311" s="3" t="n">
        <f aca="false">E311*0.44704</f>
        <v>3.978656</v>
      </c>
      <c r="Q311" s="3" t="n">
        <f aca="false">F311*0.44704</f>
        <v>3.978656</v>
      </c>
    </row>
    <row r="312" customFormat="false" ht="15" hidden="false" customHeight="false" outlineLevel="0" collapsed="false">
      <c r="A312" s="8" t="n">
        <v>46315.895114294</v>
      </c>
      <c r="B312" s="3" t="s">
        <v>349</v>
      </c>
      <c r="C312" s="0" t="n">
        <v>2</v>
      </c>
      <c r="D312" s="0" t="n">
        <v>147.6</v>
      </c>
      <c r="E312" s="0" t="n">
        <v>8.9</v>
      </c>
      <c r="F312" s="0" t="n">
        <v>8.9</v>
      </c>
      <c r="G312" s="0" t="n">
        <v>0</v>
      </c>
      <c r="H312" s="0" t="n">
        <v>0</v>
      </c>
      <c r="I312" s="0" t="n">
        <v>-0.2</v>
      </c>
      <c r="J312" s="0" t="n">
        <v>277</v>
      </c>
      <c r="K312" s="0" t="n">
        <v>-35.3632293</v>
      </c>
      <c r="L312" s="0" t="n">
        <v>149.1649534</v>
      </c>
      <c r="M312" s="0" t="n">
        <v>88.8</v>
      </c>
      <c r="N312" s="3" t="n">
        <f aca="false">(A312-$A$2)*86400</f>
        <v>323.972999467</v>
      </c>
      <c r="O312" s="3" t="n">
        <f aca="false">D312*0.3048</f>
        <v>44.98848</v>
      </c>
      <c r="P312" s="3" t="n">
        <f aca="false">E312*0.44704</f>
        <v>3.978656</v>
      </c>
      <c r="Q312" s="3" t="n">
        <f aca="false">F312*0.44704</f>
        <v>3.978656</v>
      </c>
    </row>
    <row r="313" customFormat="false" ht="15" hidden="false" customHeight="false" outlineLevel="0" collapsed="false">
      <c r="A313" s="8" t="n">
        <v>46315.8951254861</v>
      </c>
      <c r="B313" s="3" t="s">
        <v>350</v>
      </c>
      <c r="C313" s="0" t="n">
        <v>2</v>
      </c>
      <c r="D313" s="0" t="n">
        <v>147.6</v>
      </c>
      <c r="E313" s="0" t="n">
        <v>8.9</v>
      </c>
      <c r="F313" s="0" t="n">
        <v>8.9</v>
      </c>
      <c r="G313" s="0" t="n">
        <v>0</v>
      </c>
      <c r="H313" s="0" t="n">
        <v>0</v>
      </c>
      <c r="I313" s="0" t="n">
        <v>-0.2</v>
      </c>
      <c r="J313" s="0" t="n">
        <v>277</v>
      </c>
      <c r="K313" s="0" t="n">
        <v>-35.3632274</v>
      </c>
      <c r="L313" s="0" t="n">
        <v>149.1649361</v>
      </c>
      <c r="M313" s="0" t="n">
        <v>92</v>
      </c>
      <c r="N313" s="3" t="n">
        <f aca="false">(A313-$A$2)*86400</f>
        <v>324.939999729</v>
      </c>
      <c r="O313" s="3" t="n">
        <f aca="false">D313*0.3048</f>
        <v>44.98848</v>
      </c>
      <c r="P313" s="3" t="n">
        <f aca="false">E313*0.44704</f>
        <v>3.978656</v>
      </c>
      <c r="Q313" s="3" t="n">
        <f aca="false">F313*0.44704</f>
        <v>3.978656</v>
      </c>
    </row>
    <row r="314" customFormat="false" ht="15" hidden="false" customHeight="false" outlineLevel="0" collapsed="false">
      <c r="A314" s="8" t="n">
        <v>46315.8951375347</v>
      </c>
      <c r="B314" s="3" t="s">
        <v>351</v>
      </c>
      <c r="C314" s="0" t="n">
        <v>2</v>
      </c>
      <c r="D314" s="0" t="n">
        <v>147.6</v>
      </c>
      <c r="E314" s="0" t="n">
        <v>8.9</v>
      </c>
      <c r="F314" s="0" t="n">
        <v>8.9</v>
      </c>
      <c r="G314" s="0" t="n">
        <v>0</v>
      </c>
      <c r="H314" s="0" t="n">
        <v>0</v>
      </c>
      <c r="I314" s="0" t="n">
        <v>-0.2</v>
      </c>
      <c r="J314" s="0" t="n">
        <v>277</v>
      </c>
      <c r="K314" s="0" t="n">
        <v>-35.3632264</v>
      </c>
      <c r="L314" s="0" t="n">
        <v>149.1649274</v>
      </c>
      <c r="M314" s="0" t="n">
        <v>95.3</v>
      </c>
      <c r="N314" s="3" t="n">
        <f aca="false">(A314-$A$2)*86400</f>
        <v>325.980999413</v>
      </c>
      <c r="O314" s="3" t="n">
        <f aca="false">D314*0.3048</f>
        <v>44.98848</v>
      </c>
      <c r="P314" s="3" t="n">
        <f aca="false">E314*0.44704</f>
        <v>3.978656</v>
      </c>
      <c r="Q314" s="3" t="n">
        <f aca="false">F314*0.44704</f>
        <v>3.978656</v>
      </c>
    </row>
    <row r="315" customFormat="false" ht="15" hidden="false" customHeight="false" outlineLevel="0" collapsed="false">
      <c r="A315" s="8" t="n">
        <v>46315.8951488194</v>
      </c>
      <c r="B315" s="3" t="s">
        <v>352</v>
      </c>
      <c r="C315" s="0" t="n">
        <v>2</v>
      </c>
      <c r="D315" s="0" t="n">
        <v>147.6</v>
      </c>
      <c r="E315" s="0" t="n">
        <v>8.9</v>
      </c>
      <c r="F315" s="0" t="n">
        <v>8.9</v>
      </c>
      <c r="G315" s="0" t="n">
        <v>0</v>
      </c>
      <c r="H315" s="0" t="n">
        <v>0</v>
      </c>
      <c r="I315" s="0" t="n">
        <v>-0.2</v>
      </c>
      <c r="J315" s="0" t="n">
        <v>277</v>
      </c>
      <c r="K315" s="0" t="n">
        <v>-35.3632254</v>
      </c>
      <c r="L315" s="0" t="n">
        <v>149.1649187</v>
      </c>
      <c r="M315" s="0" t="n">
        <v>98.5</v>
      </c>
      <c r="N315" s="3" t="n">
        <f aca="false">(A315-$A$2)*86400</f>
        <v>326.955999783</v>
      </c>
      <c r="O315" s="3" t="n">
        <f aca="false">D315*0.3048</f>
        <v>44.98848</v>
      </c>
      <c r="P315" s="3" t="n">
        <f aca="false">E315*0.44704</f>
        <v>3.978656</v>
      </c>
      <c r="Q315" s="3" t="n">
        <f aca="false">F315*0.44704</f>
        <v>3.978656</v>
      </c>
    </row>
    <row r="316" customFormat="false" ht="15" hidden="false" customHeight="false" outlineLevel="0" collapsed="false">
      <c r="A316" s="8" t="n">
        <v>46315.8951605324</v>
      </c>
      <c r="B316" s="3" t="s">
        <v>353</v>
      </c>
      <c r="C316" s="0" t="n">
        <v>2</v>
      </c>
      <c r="D316" s="0" t="n">
        <v>147.6</v>
      </c>
      <c r="E316" s="0" t="n">
        <v>8.9</v>
      </c>
      <c r="F316" s="0" t="n">
        <v>8.9</v>
      </c>
      <c r="G316" s="0" t="n">
        <v>0</v>
      </c>
      <c r="H316" s="0" t="n">
        <v>0</v>
      </c>
      <c r="I316" s="0" t="n">
        <v>-0.2</v>
      </c>
      <c r="J316" s="0" t="n">
        <v>277</v>
      </c>
      <c r="K316" s="0" t="n">
        <v>-35.3632244</v>
      </c>
      <c r="L316" s="0" t="n">
        <v>149.1649101</v>
      </c>
      <c r="M316" s="0" t="n">
        <v>101.8</v>
      </c>
      <c r="N316" s="3" t="n">
        <f aca="false">(A316-$A$2)*86400</f>
        <v>327.968000178</v>
      </c>
      <c r="O316" s="3" t="n">
        <f aca="false">D316*0.3048</f>
        <v>44.98848</v>
      </c>
      <c r="P316" s="3" t="n">
        <f aca="false">E316*0.44704</f>
        <v>3.978656</v>
      </c>
      <c r="Q316" s="3" t="n">
        <f aca="false">F316*0.44704</f>
        <v>3.978656</v>
      </c>
    </row>
    <row r="317" customFormat="false" ht="15" hidden="false" customHeight="false" outlineLevel="0" collapsed="false">
      <c r="A317" s="8" t="n">
        <v>46315.8951720833</v>
      </c>
      <c r="B317" s="3" t="s">
        <v>354</v>
      </c>
      <c r="C317" s="0" t="n">
        <v>2</v>
      </c>
      <c r="D317" s="0" t="n">
        <v>147.6</v>
      </c>
      <c r="E317" s="0" t="n">
        <v>8.9</v>
      </c>
      <c r="F317" s="0" t="n">
        <v>8.9</v>
      </c>
      <c r="G317" s="0" t="n">
        <v>0</v>
      </c>
      <c r="H317" s="0" t="n">
        <v>0</v>
      </c>
      <c r="I317" s="0" t="n">
        <v>-0.2</v>
      </c>
      <c r="J317" s="0" t="n">
        <v>277</v>
      </c>
      <c r="K317" s="0" t="n">
        <v>-35.3632224</v>
      </c>
      <c r="L317" s="0" t="n">
        <v>149.1648927</v>
      </c>
      <c r="M317" s="0" t="n">
        <v>105.1</v>
      </c>
      <c r="N317" s="3" t="n">
        <f aca="false">(A317-$A$2)*86400</f>
        <v>328.966000699</v>
      </c>
      <c r="O317" s="3" t="n">
        <f aca="false">D317*0.3048</f>
        <v>44.98848</v>
      </c>
      <c r="P317" s="3" t="n">
        <f aca="false">E317*0.44704</f>
        <v>3.978656</v>
      </c>
      <c r="Q317" s="3" t="n">
        <f aca="false">F317*0.44704</f>
        <v>3.978656</v>
      </c>
    </row>
    <row r="318" customFormat="false" ht="15" hidden="false" customHeight="false" outlineLevel="0" collapsed="false">
      <c r="A318" s="8" t="n">
        <v>46315.8951842477</v>
      </c>
      <c r="B318" s="3" t="s">
        <v>355</v>
      </c>
      <c r="C318" s="0" t="n">
        <v>2</v>
      </c>
      <c r="D318" s="0" t="n">
        <v>147.6</v>
      </c>
      <c r="E318" s="0" t="n">
        <v>8.9</v>
      </c>
      <c r="F318" s="0" t="n">
        <v>8.9</v>
      </c>
      <c r="G318" s="0" t="n">
        <v>0</v>
      </c>
      <c r="H318" s="0" t="n">
        <v>0</v>
      </c>
      <c r="I318" s="0" t="n">
        <v>-0.2</v>
      </c>
      <c r="J318" s="0" t="n">
        <v>277</v>
      </c>
      <c r="K318" s="0" t="n">
        <v>-35.3632214</v>
      </c>
      <c r="L318" s="0" t="n">
        <v>149.1648841</v>
      </c>
      <c r="M318" s="0" t="n">
        <v>108.3</v>
      </c>
      <c r="N318" s="3" t="n">
        <f aca="false">(A318-$A$2)*86400</f>
        <v>330.016999575</v>
      </c>
      <c r="O318" s="3" t="n">
        <f aca="false">D318*0.3048</f>
        <v>44.98848</v>
      </c>
      <c r="P318" s="3" t="n">
        <f aca="false">E318*0.44704</f>
        <v>3.978656</v>
      </c>
      <c r="Q318" s="3" t="n">
        <f aca="false">F318*0.44704</f>
        <v>3.978656</v>
      </c>
    </row>
    <row r="319" customFormat="false" ht="15" hidden="false" customHeight="false" outlineLevel="0" collapsed="false">
      <c r="A319" s="8" t="n">
        <v>46315.8951950695</v>
      </c>
      <c r="B319" s="3" t="s">
        <v>355</v>
      </c>
      <c r="C319" s="0" t="n">
        <v>2</v>
      </c>
      <c r="D319" s="0" t="n">
        <v>147.6</v>
      </c>
      <c r="E319" s="0" t="n">
        <v>8.9</v>
      </c>
      <c r="F319" s="0" t="n">
        <v>8.9</v>
      </c>
      <c r="G319" s="0" t="n">
        <v>0</v>
      </c>
      <c r="H319" s="0" t="n">
        <v>0</v>
      </c>
      <c r="I319" s="0" t="n">
        <v>-0.2</v>
      </c>
      <c r="J319" s="0" t="n">
        <v>277</v>
      </c>
      <c r="K319" s="0" t="n">
        <v>-35.3632214</v>
      </c>
      <c r="L319" s="0" t="n">
        <v>149.1648841</v>
      </c>
      <c r="M319" s="0" t="n">
        <v>108.3</v>
      </c>
      <c r="N319" s="3" t="n">
        <f aca="false">(A319-$A$2)*86400</f>
        <v>330.952000664</v>
      </c>
      <c r="O319" s="3" t="n">
        <f aca="false">D319*0.3048</f>
        <v>44.98848</v>
      </c>
      <c r="P319" s="3" t="n">
        <f aca="false">E319*0.44704</f>
        <v>3.978656</v>
      </c>
      <c r="Q319" s="3" t="n">
        <f aca="false">F319*0.44704</f>
        <v>3.978656</v>
      </c>
    </row>
    <row r="320" customFormat="false" ht="15" hidden="false" customHeight="false" outlineLevel="0" collapsed="false">
      <c r="A320" s="8" t="n">
        <v>46315.8952067477</v>
      </c>
      <c r="B320" s="3" t="s">
        <v>356</v>
      </c>
      <c r="C320" s="0" t="n">
        <v>2</v>
      </c>
      <c r="D320" s="0" t="n">
        <v>147.6</v>
      </c>
      <c r="E320" s="0" t="n">
        <v>8.9</v>
      </c>
      <c r="F320" s="0" t="n">
        <v>8.9</v>
      </c>
      <c r="G320" s="0" t="n">
        <v>0</v>
      </c>
      <c r="H320" s="0" t="n">
        <v>0</v>
      </c>
      <c r="I320" s="0" t="n">
        <v>-0.2</v>
      </c>
      <c r="J320" s="0" t="n">
        <v>277</v>
      </c>
      <c r="K320" s="0" t="n">
        <v>-35.3632204</v>
      </c>
      <c r="L320" s="0" t="n">
        <v>149.1648754</v>
      </c>
      <c r="M320" s="0" t="n">
        <v>111.6</v>
      </c>
      <c r="N320" s="3" t="n">
        <f aca="false">(A320-$A$2)*86400</f>
        <v>331.961000547</v>
      </c>
      <c r="O320" s="3" t="n">
        <f aca="false">D320*0.3048</f>
        <v>44.98848</v>
      </c>
      <c r="P320" s="3" t="n">
        <f aca="false">E320*0.44704</f>
        <v>3.978656</v>
      </c>
      <c r="Q320" s="3" t="n">
        <f aca="false">F320*0.44704</f>
        <v>3.978656</v>
      </c>
    </row>
    <row r="321" customFormat="false" ht="15" hidden="false" customHeight="false" outlineLevel="0" collapsed="false">
      <c r="A321" s="8" t="n">
        <v>46315.895218125</v>
      </c>
      <c r="B321" s="3" t="s">
        <v>357</v>
      </c>
      <c r="C321" s="0" t="n">
        <v>2</v>
      </c>
      <c r="D321" s="0" t="n">
        <v>147.6</v>
      </c>
      <c r="E321" s="0" t="n">
        <v>8.9</v>
      </c>
      <c r="F321" s="0" t="n">
        <v>8.9</v>
      </c>
      <c r="G321" s="0" t="n">
        <v>0</v>
      </c>
      <c r="H321" s="0" t="n">
        <v>0</v>
      </c>
      <c r="I321" s="0" t="n">
        <v>-0.2</v>
      </c>
      <c r="J321" s="0" t="n">
        <v>277</v>
      </c>
      <c r="K321" s="0" t="n">
        <v>-35.3632194</v>
      </c>
      <c r="L321" s="0" t="n">
        <v>149.1648667</v>
      </c>
      <c r="M321" s="0" t="n">
        <v>114.9</v>
      </c>
      <c r="N321" s="3" t="n">
        <f aca="false">(A321-$A$2)*86400</f>
        <v>332.943999767</v>
      </c>
      <c r="O321" s="3" t="n">
        <f aca="false">D321*0.3048</f>
        <v>44.98848</v>
      </c>
      <c r="P321" s="3" t="n">
        <f aca="false">E321*0.44704</f>
        <v>3.978656</v>
      </c>
      <c r="Q321" s="3" t="n">
        <f aca="false">F321*0.44704</f>
        <v>3.978656</v>
      </c>
    </row>
    <row r="322" customFormat="false" ht="15" hidden="false" customHeight="false" outlineLevel="0" collapsed="false">
      <c r="A322" s="8" t="n">
        <v>46315.8952299653</v>
      </c>
      <c r="B322" s="3" t="s">
        <v>358</v>
      </c>
      <c r="C322" s="0" t="n">
        <v>2</v>
      </c>
      <c r="D322" s="0" t="n">
        <v>147.6</v>
      </c>
      <c r="E322" s="0" t="n">
        <v>8.9</v>
      </c>
      <c r="F322" s="0" t="n">
        <v>8.9</v>
      </c>
      <c r="G322" s="0" t="n">
        <v>0</v>
      </c>
      <c r="H322" s="0" t="n">
        <v>0</v>
      </c>
      <c r="I322" s="0" t="n">
        <v>-0.2</v>
      </c>
      <c r="J322" s="0" t="n">
        <v>277</v>
      </c>
      <c r="K322" s="0" t="n">
        <v>-35.3632173</v>
      </c>
      <c r="L322" s="0" t="n">
        <v>149.1648493</v>
      </c>
      <c r="M322" s="0" t="n">
        <v>118.1</v>
      </c>
      <c r="N322" s="3" t="n">
        <f aca="false">(A322-$A$2)*86400</f>
        <v>333.967000152</v>
      </c>
      <c r="O322" s="3" t="n">
        <f aca="false">D322*0.3048</f>
        <v>44.98848</v>
      </c>
      <c r="P322" s="3" t="n">
        <f aca="false">E322*0.44704</f>
        <v>3.978656</v>
      </c>
      <c r="Q322" s="3" t="n">
        <f aca="false">F322*0.44704</f>
        <v>3.978656</v>
      </c>
    </row>
    <row r="323" customFormat="false" ht="15" hidden="false" customHeight="false" outlineLevel="0" collapsed="false">
      <c r="A323" s="8" t="n">
        <v>46315.8952414931</v>
      </c>
      <c r="B323" s="3" t="s">
        <v>359</v>
      </c>
      <c r="C323" s="0" t="n">
        <v>2</v>
      </c>
      <c r="D323" s="0" t="n">
        <v>147.6</v>
      </c>
      <c r="E323" s="0" t="n">
        <v>8.9</v>
      </c>
      <c r="F323" s="0" t="n">
        <v>8.9</v>
      </c>
      <c r="G323" s="0" t="n">
        <v>0</v>
      </c>
      <c r="H323" s="0" t="n">
        <v>0</v>
      </c>
      <c r="I323" s="0" t="n">
        <v>-0.2</v>
      </c>
      <c r="J323" s="0" t="n">
        <v>277</v>
      </c>
      <c r="K323" s="0" t="n">
        <v>-35.3632164</v>
      </c>
      <c r="L323" s="0" t="n">
        <v>149.1648406</v>
      </c>
      <c r="M323" s="0" t="n">
        <v>121.4</v>
      </c>
      <c r="N323" s="3" t="n">
        <f aca="false">(A323-$A$2)*86400</f>
        <v>334.962999704</v>
      </c>
      <c r="O323" s="3" t="n">
        <f aca="false">D323*0.3048</f>
        <v>44.98848</v>
      </c>
      <c r="P323" s="3" t="n">
        <f aca="false">E323*0.44704</f>
        <v>3.978656</v>
      </c>
      <c r="Q323" s="3" t="n">
        <f aca="false">F323*0.44704</f>
        <v>3.978656</v>
      </c>
    </row>
    <row r="324" customFormat="false" ht="15" hidden="false" customHeight="false" outlineLevel="0" collapsed="false">
      <c r="A324" s="8" t="n">
        <v>46315.8952531945</v>
      </c>
      <c r="B324" s="3" t="s">
        <v>360</v>
      </c>
      <c r="C324" s="0" t="n">
        <v>2</v>
      </c>
      <c r="D324" s="0" t="n">
        <v>147.6</v>
      </c>
      <c r="E324" s="0" t="n">
        <v>8.9</v>
      </c>
      <c r="F324" s="0" t="n">
        <v>8.9</v>
      </c>
      <c r="G324" s="0" t="n">
        <v>0</v>
      </c>
      <c r="H324" s="0" t="n">
        <v>0</v>
      </c>
      <c r="I324" s="0" t="n">
        <v>-0.1</v>
      </c>
      <c r="J324" s="0" t="n">
        <v>277</v>
      </c>
      <c r="K324" s="0" t="n">
        <v>-35.3632154</v>
      </c>
      <c r="L324" s="0" t="n">
        <v>149.1648319</v>
      </c>
      <c r="M324" s="0" t="n">
        <v>124.7</v>
      </c>
      <c r="N324" s="3" t="n">
        <f aca="false">(A324-$A$2)*86400</f>
        <v>335.974000557</v>
      </c>
      <c r="O324" s="3" t="n">
        <f aca="false">D324*0.3048</f>
        <v>44.98848</v>
      </c>
      <c r="P324" s="3" t="n">
        <f aca="false">E324*0.44704</f>
        <v>3.978656</v>
      </c>
      <c r="Q324" s="3" t="n">
        <f aca="false">F324*0.44704</f>
        <v>3.978656</v>
      </c>
    </row>
    <row r="325" customFormat="false" ht="15" hidden="false" customHeight="false" outlineLevel="0" collapsed="false">
      <c r="A325" s="8" t="n">
        <v>46315.8952651736</v>
      </c>
      <c r="B325" s="3" t="s">
        <v>361</v>
      </c>
      <c r="C325" s="0" t="n">
        <v>2</v>
      </c>
      <c r="D325" s="0" t="n">
        <v>147.6</v>
      </c>
      <c r="E325" s="0" t="n">
        <v>8.9</v>
      </c>
      <c r="F325" s="0" t="n">
        <v>8.9</v>
      </c>
      <c r="G325" s="0" t="n">
        <v>0</v>
      </c>
      <c r="H325" s="0" t="n">
        <v>0</v>
      </c>
      <c r="I325" s="0" t="n">
        <v>-0.1</v>
      </c>
      <c r="J325" s="0" t="n">
        <v>277</v>
      </c>
      <c r="K325" s="0" t="n">
        <v>-35.3632143</v>
      </c>
      <c r="L325" s="0" t="n">
        <v>149.1648232</v>
      </c>
      <c r="M325" s="0" t="n">
        <v>127.9</v>
      </c>
      <c r="N325" s="3" t="n">
        <f aca="false">(A325-$A$2)*86400</f>
        <v>337.008999846</v>
      </c>
      <c r="O325" s="3" t="n">
        <f aca="false">D325*0.3048</f>
        <v>44.98848</v>
      </c>
      <c r="P325" s="3" t="n">
        <f aca="false">E325*0.44704</f>
        <v>3.978656</v>
      </c>
      <c r="Q325" s="3" t="n">
        <f aca="false">F325*0.44704</f>
        <v>3.978656</v>
      </c>
    </row>
    <row r="326" customFormat="false" ht="15" hidden="false" customHeight="false" outlineLevel="0" collapsed="false">
      <c r="A326" s="8" t="n">
        <v>46315.8952760995</v>
      </c>
      <c r="B326" s="3" t="s">
        <v>361</v>
      </c>
      <c r="C326" s="0" t="n">
        <v>2</v>
      </c>
      <c r="D326" s="0" t="n">
        <v>147.6</v>
      </c>
      <c r="E326" s="0" t="n">
        <v>8.9</v>
      </c>
      <c r="F326" s="0" t="n">
        <v>8.9</v>
      </c>
      <c r="G326" s="0" t="n">
        <v>0</v>
      </c>
      <c r="H326" s="0" t="n">
        <v>0</v>
      </c>
      <c r="I326" s="0" t="n">
        <v>-0.1</v>
      </c>
      <c r="J326" s="0" t="n">
        <v>277</v>
      </c>
      <c r="K326" s="0" t="n">
        <v>-35.3632143</v>
      </c>
      <c r="L326" s="0" t="n">
        <v>149.1648232</v>
      </c>
      <c r="M326" s="0" t="n">
        <v>127.9</v>
      </c>
      <c r="N326" s="3" t="n">
        <f aca="false">(A326-$A$2)*86400</f>
        <v>337.952999956</v>
      </c>
      <c r="O326" s="3" t="n">
        <f aca="false">D326*0.3048</f>
        <v>44.98848</v>
      </c>
      <c r="P326" s="3" t="n">
        <f aca="false">E326*0.44704</f>
        <v>3.978656</v>
      </c>
      <c r="Q326" s="3" t="n">
        <f aca="false">F326*0.44704</f>
        <v>3.978656</v>
      </c>
    </row>
    <row r="327" customFormat="false" ht="15" hidden="false" customHeight="false" outlineLevel="0" collapsed="false">
      <c r="A327" s="8" t="n">
        <v>46315.8952876389</v>
      </c>
      <c r="B327" s="3" t="s">
        <v>362</v>
      </c>
      <c r="C327" s="0" t="n">
        <v>2</v>
      </c>
      <c r="D327" s="0" t="n">
        <v>147.6</v>
      </c>
      <c r="E327" s="0" t="n">
        <v>8.9</v>
      </c>
      <c r="F327" s="0" t="n">
        <v>8.9</v>
      </c>
      <c r="G327" s="0" t="n">
        <v>0</v>
      </c>
      <c r="H327" s="0" t="n">
        <v>0</v>
      </c>
      <c r="I327" s="0" t="n">
        <v>-0.1</v>
      </c>
      <c r="J327" s="0" t="n">
        <v>277</v>
      </c>
      <c r="K327" s="0" t="n">
        <v>-35.3632123</v>
      </c>
      <c r="L327" s="0" t="n">
        <v>149.1648058</v>
      </c>
      <c r="M327" s="0" t="n">
        <v>131.2</v>
      </c>
      <c r="N327" s="3" t="n">
        <f aca="false">(A327-$A$2)*86400</f>
        <v>338.949999678</v>
      </c>
      <c r="O327" s="3" t="n">
        <f aca="false">D327*0.3048</f>
        <v>44.98848</v>
      </c>
      <c r="P327" s="3" t="n">
        <f aca="false">E327*0.44704</f>
        <v>3.978656</v>
      </c>
      <c r="Q327" s="3" t="n">
        <f aca="false">F327*0.44704</f>
        <v>3.978656</v>
      </c>
    </row>
    <row r="328" customFormat="false" ht="15" hidden="false" customHeight="false" outlineLevel="0" collapsed="false">
      <c r="A328" s="8" t="n">
        <v>46315.8952992477</v>
      </c>
      <c r="B328" s="3" t="s">
        <v>363</v>
      </c>
      <c r="C328" s="0" t="n">
        <v>2</v>
      </c>
      <c r="D328" s="0" t="n">
        <v>147.6</v>
      </c>
      <c r="E328" s="0" t="n">
        <v>8.9</v>
      </c>
      <c r="F328" s="0" t="n">
        <v>8.9</v>
      </c>
      <c r="G328" s="0" t="n">
        <v>0</v>
      </c>
      <c r="H328" s="0" t="n">
        <v>0</v>
      </c>
      <c r="I328" s="0" t="n">
        <v>-0.1</v>
      </c>
      <c r="J328" s="0" t="n">
        <v>277</v>
      </c>
      <c r="K328" s="0" t="n">
        <v>-35.3632114</v>
      </c>
      <c r="L328" s="0" t="n">
        <v>149.164797</v>
      </c>
      <c r="M328" s="0" t="n">
        <v>134.5</v>
      </c>
      <c r="N328" s="3" t="n">
        <f aca="false">(A328-$A$2)*86400</f>
        <v>339.952999167</v>
      </c>
      <c r="O328" s="3" t="n">
        <f aca="false">D328*0.3048</f>
        <v>44.98848</v>
      </c>
      <c r="P328" s="3" t="n">
        <f aca="false">E328*0.44704</f>
        <v>3.978656</v>
      </c>
      <c r="Q328" s="3" t="n">
        <f aca="false">F328*0.44704</f>
        <v>3.978656</v>
      </c>
    </row>
    <row r="329" customFormat="false" ht="15" hidden="false" customHeight="false" outlineLevel="0" collapsed="false">
      <c r="A329" s="8" t="n">
        <v>46315.8953108333</v>
      </c>
      <c r="B329" s="3" t="s">
        <v>364</v>
      </c>
      <c r="C329" s="0" t="n">
        <v>2</v>
      </c>
      <c r="D329" s="0" t="n">
        <v>147.6</v>
      </c>
      <c r="E329" s="0" t="n">
        <v>8.9</v>
      </c>
      <c r="F329" s="0" t="n">
        <v>8.9</v>
      </c>
      <c r="G329" s="0" t="n">
        <v>0</v>
      </c>
      <c r="H329" s="0" t="n">
        <v>0</v>
      </c>
      <c r="I329" s="0" t="n">
        <v>-0.1</v>
      </c>
      <c r="J329" s="0" t="n">
        <v>277</v>
      </c>
      <c r="K329" s="0" t="n">
        <v>-35.3632104</v>
      </c>
      <c r="L329" s="0" t="n">
        <v>149.1647883</v>
      </c>
      <c r="M329" s="0" t="n">
        <v>137.8</v>
      </c>
      <c r="N329" s="3" t="n">
        <f aca="false">(A329-$A$2)*86400</f>
        <v>340.953999571</v>
      </c>
      <c r="O329" s="3" t="n">
        <f aca="false">D329*0.3048</f>
        <v>44.98848</v>
      </c>
      <c r="P329" s="3" t="n">
        <f aca="false">E329*0.44704</f>
        <v>3.978656</v>
      </c>
      <c r="Q329" s="3" t="n">
        <f aca="false">F329*0.44704</f>
        <v>3.978656</v>
      </c>
    </row>
    <row r="330" customFormat="false" ht="15" hidden="false" customHeight="false" outlineLevel="0" collapsed="false">
      <c r="A330" s="8" t="n">
        <v>46315.8953224074</v>
      </c>
      <c r="B330" s="3" t="s">
        <v>365</v>
      </c>
      <c r="C330" s="0" t="n">
        <v>2</v>
      </c>
      <c r="D330" s="0" t="n">
        <v>147.6</v>
      </c>
      <c r="E330" s="0" t="n">
        <v>8.9</v>
      </c>
      <c r="F330" s="0" t="n">
        <v>8.9</v>
      </c>
      <c r="G330" s="0" t="n">
        <v>0</v>
      </c>
      <c r="H330" s="0" t="n">
        <v>0</v>
      </c>
      <c r="I330" s="0" t="n">
        <v>-0.1</v>
      </c>
      <c r="J330" s="0" t="n">
        <v>277</v>
      </c>
      <c r="K330" s="0" t="n">
        <v>-35.3632094</v>
      </c>
      <c r="L330" s="0" t="n">
        <v>149.1647796</v>
      </c>
      <c r="M330" s="0" t="n">
        <v>141</v>
      </c>
      <c r="N330" s="3" t="n">
        <f aca="false">(A330-$A$2)*86400</f>
        <v>341.953999805</v>
      </c>
      <c r="O330" s="3" t="n">
        <f aca="false">D330*0.3048</f>
        <v>44.98848</v>
      </c>
      <c r="P330" s="3" t="n">
        <f aca="false">E330*0.44704</f>
        <v>3.978656</v>
      </c>
      <c r="Q330" s="3" t="n">
        <f aca="false">F330*0.44704</f>
        <v>3.978656</v>
      </c>
    </row>
    <row r="331" customFormat="false" ht="15" hidden="false" customHeight="false" outlineLevel="0" collapsed="false">
      <c r="A331" s="8" t="n">
        <v>46315.8953337847</v>
      </c>
      <c r="B331" s="3" t="s">
        <v>366</v>
      </c>
      <c r="C331" s="0" t="n">
        <v>2</v>
      </c>
      <c r="D331" s="0" t="n">
        <v>147.6</v>
      </c>
      <c r="E331" s="0" t="n">
        <v>8.9</v>
      </c>
      <c r="F331" s="0" t="n">
        <v>8.9</v>
      </c>
      <c r="G331" s="0" t="n">
        <v>0</v>
      </c>
      <c r="H331" s="0" t="n">
        <v>0</v>
      </c>
      <c r="I331" s="0" t="n">
        <v>-0.1</v>
      </c>
      <c r="J331" s="0" t="n">
        <v>277</v>
      </c>
      <c r="K331" s="0" t="n">
        <v>-35.3632074</v>
      </c>
      <c r="L331" s="0" t="n">
        <v>149.1647622</v>
      </c>
      <c r="M331" s="0" t="n">
        <v>144.3</v>
      </c>
      <c r="N331" s="3" t="n">
        <f aca="false">(A331-$A$2)*86400</f>
        <v>342.936999653</v>
      </c>
      <c r="O331" s="3" t="n">
        <f aca="false">D331*0.3048</f>
        <v>44.98848</v>
      </c>
      <c r="P331" s="3" t="n">
        <f aca="false">E331*0.44704</f>
        <v>3.978656</v>
      </c>
      <c r="Q331" s="3" t="n">
        <f aca="false">F331*0.44704</f>
        <v>3.978656</v>
      </c>
    </row>
    <row r="332" customFormat="false" ht="15" hidden="false" customHeight="false" outlineLevel="0" collapsed="false">
      <c r="A332" s="8" t="n">
        <v>46315.895345625</v>
      </c>
      <c r="B332" s="3" t="s">
        <v>367</v>
      </c>
      <c r="C332" s="0" t="n">
        <v>2</v>
      </c>
      <c r="D332" s="0" t="n">
        <v>147.6</v>
      </c>
      <c r="E332" s="0" t="n">
        <v>8.9</v>
      </c>
      <c r="F332" s="0" t="n">
        <v>8.9</v>
      </c>
      <c r="G332" s="0" t="n">
        <v>0</v>
      </c>
      <c r="H332" s="0" t="n">
        <v>0</v>
      </c>
      <c r="I332" s="0" t="n">
        <v>-0.2</v>
      </c>
      <c r="J332" s="0" t="n">
        <v>277</v>
      </c>
      <c r="K332" s="0" t="n">
        <v>-35.3632063</v>
      </c>
      <c r="L332" s="0" t="n">
        <v>149.1647535</v>
      </c>
      <c r="M332" s="0" t="n">
        <v>147.6</v>
      </c>
      <c r="N332" s="3" t="n">
        <f aca="false">(A332-$A$2)*86400</f>
        <v>343.960000039</v>
      </c>
      <c r="O332" s="3" t="n">
        <f aca="false">D332*0.3048</f>
        <v>44.98848</v>
      </c>
      <c r="P332" s="3" t="n">
        <f aca="false">E332*0.44704</f>
        <v>3.978656</v>
      </c>
      <c r="Q332" s="3" t="n">
        <f aca="false">F332*0.44704</f>
        <v>3.978656</v>
      </c>
    </row>
    <row r="333" customFormat="false" ht="15" hidden="false" customHeight="false" outlineLevel="0" collapsed="false">
      <c r="A333" s="8" t="n">
        <v>46315.8953570833</v>
      </c>
      <c r="B333" s="3" t="s">
        <v>368</v>
      </c>
      <c r="C333" s="0" t="n">
        <v>2</v>
      </c>
      <c r="D333" s="0" t="n">
        <v>147.6</v>
      </c>
      <c r="E333" s="0" t="n">
        <v>8.9</v>
      </c>
      <c r="F333" s="0" t="n">
        <v>8.9</v>
      </c>
      <c r="G333" s="0" t="n">
        <v>0</v>
      </c>
      <c r="H333" s="0" t="n">
        <v>0</v>
      </c>
      <c r="I333" s="0" t="n">
        <v>-0.2</v>
      </c>
      <c r="J333" s="0" t="n">
        <v>277</v>
      </c>
      <c r="K333" s="0" t="n">
        <v>-35.3632054</v>
      </c>
      <c r="L333" s="0" t="n">
        <v>149.1647448</v>
      </c>
      <c r="M333" s="0" t="n">
        <v>150.9</v>
      </c>
      <c r="N333" s="3" t="n">
        <f aca="false">(A333-$A$2)*86400</f>
        <v>344.949999824</v>
      </c>
      <c r="O333" s="3" t="n">
        <f aca="false">D333*0.3048</f>
        <v>44.98848</v>
      </c>
      <c r="P333" s="3" t="n">
        <f aca="false">E333*0.44704</f>
        <v>3.978656</v>
      </c>
      <c r="Q333" s="3" t="n">
        <f aca="false">F333*0.44704</f>
        <v>3.978656</v>
      </c>
    </row>
    <row r="334" customFormat="false" ht="15" hidden="false" customHeight="false" outlineLevel="0" collapsed="false">
      <c r="A334" s="8" t="n">
        <v>46315.8953689931</v>
      </c>
      <c r="B334" s="3" t="s">
        <v>369</v>
      </c>
      <c r="C334" s="0" t="n">
        <v>2</v>
      </c>
      <c r="D334" s="0" t="n">
        <v>147.6</v>
      </c>
      <c r="E334" s="0" t="n">
        <v>8.9</v>
      </c>
      <c r="F334" s="0" t="n">
        <v>8.9</v>
      </c>
      <c r="G334" s="0" t="n">
        <v>0</v>
      </c>
      <c r="H334" s="0" t="n">
        <v>0</v>
      </c>
      <c r="I334" s="0" t="n">
        <v>-0.2</v>
      </c>
      <c r="J334" s="0" t="n">
        <v>277</v>
      </c>
      <c r="K334" s="0" t="n">
        <v>-35.3632044</v>
      </c>
      <c r="L334" s="0" t="n">
        <v>149.1647361</v>
      </c>
      <c r="M334" s="0" t="n">
        <v>154.1</v>
      </c>
      <c r="N334" s="3" t="n">
        <f aca="false">(A334-$A$2)*86400</f>
        <v>345.978999976</v>
      </c>
      <c r="O334" s="3" t="n">
        <f aca="false">D334*0.3048</f>
        <v>44.98848</v>
      </c>
      <c r="P334" s="3" t="n">
        <f aca="false">E334*0.44704</f>
        <v>3.978656</v>
      </c>
      <c r="Q334" s="3" t="n">
        <f aca="false">F334*0.44704</f>
        <v>3.978656</v>
      </c>
    </row>
    <row r="335" customFormat="false" ht="15" hidden="false" customHeight="false" outlineLevel="0" collapsed="false">
      <c r="A335" s="8" t="n">
        <v>46315.8953803935</v>
      </c>
      <c r="B335" s="3" t="s">
        <v>370</v>
      </c>
      <c r="C335" s="0" t="n">
        <v>2</v>
      </c>
      <c r="D335" s="0" t="n">
        <v>147.6</v>
      </c>
      <c r="E335" s="0" t="n">
        <v>8.9</v>
      </c>
      <c r="F335" s="0" t="n">
        <v>8.9</v>
      </c>
      <c r="G335" s="0" t="n">
        <v>0</v>
      </c>
      <c r="H335" s="0" t="n">
        <v>0</v>
      </c>
      <c r="I335" s="0" t="n">
        <v>-0.1</v>
      </c>
      <c r="J335" s="0" t="n">
        <v>277</v>
      </c>
      <c r="K335" s="0" t="n">
        <v>-35.3632024</v>
      </c>
      <c r="L335" s="0" t="n">
        <v>149.1647186</v>
      </c>
      <c r="M335" s="0" t="n">
        <v>157.4</v>
      </c>
      <c r="N335" s="3" t="n">
        <f aca="false">(A335-$A$2)*86400</f>
        <v>346.964000165</v>
      </c>
      <c r="O335" s="3" t="n">
        <f aca="false">D335*0.3048</f>
        <v>44.98848</v>
      </c>
      <c r="P335" s="3" t="n">
        <f aca="false">E335*0.44704</f>
        <v>3.978656</v>
      </c>
      <c r="Q335" s="3" t="n">
        <f aca="false">F335*0.44704</f>
        <v>3.978656</v>
      </c>
    </row>
    <row r="336" customFormat="false" ht="15" hidden="false" customHeight="false" outlineLevel="0" collapsed="false">
      <c r="A336" s="8" t="n">
        <v>46315.8953917708</v>
      </c>
      <c r="B336" s="3" t="s">
        <v>371</v>
      </c>
      <c r="C336" s="0" t="n">
        <v>2</v>
      </c>
      <c r="D336" s="0" t="n">
        <v>147.6</v>
      </c>
      <c r="E336" s="0" t="n">
        <v>8.9</v>
      </c>
      <c r="F336" s="0" t="n">
        <v>8.9</v>
      </c>
      <c r="G336" s="0" t="n">
        <v>0</v>
      </c>
      <c r="H336" s="0" t="n">
        <v>0</v>
      </c>
      <c r="I336" s="0" t="n">
        <v>-0.2</v>
      </c>
      <c r="J336" s="0" t="n">
        <v>277</v>
      </c>
      <c r="K336" s="0" t="n">
        <v>-35.3632024</v>
      </c>
      <c r="L336" s="0" t="n">
        <v>149.1647186</v>
      </c>
      <c r="M336" s="0" t="n">
        <v>160.7</v>
      </c>
      <c r="N336" s="3" t="n">
        <f aca="false">(A336-$A$2)*86400</f>
        <v>347.946999385</v>
      </c>
      <c r="O336" s="3" t="n">
        <f aca="false">D336*0.3048</f>
        <v>44.98848</v>
      </c>
      <c r="P336" s="3" t="n">
        <f aca="false">E336*0.44704</f>
        <v>3.978656</v>
      </c>
      <c r="Q336" s="3" t="n">
        <f aca="false">F336*0.44704</f>
        <v>3.978656</v>
      </c>
    </row>
    <row r="337" customFormat="false" ht="15" hidden="false" customHeight="false" outlineLevel="0" collapsed="false">
      <c r="A337" s="8" t="n">
        <v>46315.8954034259</v>
      </c>
      <c r="B337" s="3" t="s">
        <v>372</v>
      </c>
      <c r="C337" s="0" t="n">
        <v>2</v>
      </c>
      <c r="D337" s="0" t="n">
        <v>147.6</v>
      </c>
      <c r="E337" s="0" t="n">
        <v>8.9</v>
      </c>
      <c r="F337" s="0" t="n">
        <v>8.9</v>
      </c>
      <c r="G337" s="0" t="n">
        <v>0</v>
      </c>
      <c r="H337" s="0" t="n">
        <v>0</v>
      </c>
      <c r="I337" s="0" t="n">
        <v>-0.2</v>
      </c>
      <c r="J337" s="0" t="n">
        <v>277</v>
      </c>
      <c r="K337" s="0" t="n">
        <v>-35.3632013</v>
      </c>
      <c r="L337" s="0" t="n">
        <v>149.1647099</v>
      </c>
      <c r="M337" s="0" t="n">
        <v>160.7</v>
      </c>
      <c r="N337" s="3" t="n">
        <f aca="false">(A337-$A$2)*86400</f>
        <v>348.954000184</v>
      </c>
      <c r="O337" s="3" t="n">
        <f aca="false">D337*0.3048</f>
        <v>44.98848</v>
      </c>
      <c r="P337" s="3" t="n">
        <f aca="false">E337*0.44704</f>
        <v>3.978656</v>
      </c>
      <c r="Q337" s="3" t="n">
        <f aca="false">F337*0.44704</f>
        <v>3.978656</v>
      </c>
    </row>
    <row r="338" customFormat="false" ht="15" hidden="false" customHeight="false" outlineLevel="0" collapsed="false">
      <c r="A338" s="8" t="n">
        <v>46315.8954149306</v>
      </c>
      <c r="B338" s="3" t="s">
        <v>373</v>
      </c>
      <c r="C338" s="0" t="n">
        <v>2</v>
      </c>
      <c r="D338" s="0" t="n">
        <v>147.6</v>
      </c>
      <c r="E338" s="0" t="n">
        <v>8.9</v>
      </c>
      <c r="F338" s="0" t="n">
        <v>8.9</v>
      </c>
      <c r="G338" s="0" t="n">
        <v>0</v>
      </c>
      <c r="H338" s="0" t="n">
        <v>0</v>
      </c>
      <c r="I338" s="0" t="n">
        <v>-0.1</v>
      </c>
      <c r="J338" s="0" t="n">
        <v>277</v>
      </c>
      <c r="K338" s="0" t="n">
        <v>-35.3632003</v>
      </c>
      <c r="L338" s="0" t="n">
        <v>149.1647012</v>
      </c>
      <c r="M338" s="0" t="n">
        <v>164</v>
      </c>
      <c r="N338" s="3" t="n">
        <f aca="false">(A338-$A$2)*86400</f>
        <v>349.948000023</v>
      </c>
      <c r="O338" s="3" t="n">
        <f aca="false">D338*0.3048</f>
        <v>44.98848</v>
      </c>
      <c r="P338" s="3" t="n">
        <f aca="false">E338*0.44704</f>
        <v>3.978656</v>
      </c>
      <c r="Q338" s="3" t="n">
        <f aca="false">F338*0.44704</f>
        <v>3.978656</v>
      </c>
    </row>
    <row r="339" customFormat="false" ht="15" hidden="false" customHeight="false" outlineLevel="0" collapsed="false">
      <c r="A339" s="8" t="n">
        <v>46315.8954265278</v>
      </c>
      <c r="B339" s="3" t="s">
        <v>374</v>
      </c>
      <c r="C339" s="0" t="n">
        <v>2</v>
      </c>
      <c r="D339" s="0" t="n">
        <v>147.6</v>
      </c>
      <c r="E339" s="0" t="n">
        <v>8.9</v>
      </c>
      <c r="F339" s="0" t="n">
        <v>8.9</v>
      </c>
      <c r="G339" s="0" t="n">
        <v>0</v>
      </c>
      <c r="H339" s="0" t="n">
        <v>0</v>
      </c>
      <c r="I339" s="0" t="n">
        <v>-0.1</v>
      </c>
      <c r="J339" s="0" t="n">
        <v>277</v>
      </c>
      <c r="K339" s="0" t="n">
        <v>-35.3631994</v>
      </c>
      <c r="L339" s="0" t="n">
        <v>149.1646925</v>
      </c>
      <c r="M339" s="0" t="n">
        <v>167.2</v>
      </c>
      <c r="N339" s="3" t="n">
        <f aca="false">(A339-$A$2)*86400</f>
        <v>350.949999969</v>
      </c>
      <c r="O339" s="3" t="n">
        <f aca="false">D339*0.3048</f>
        <v>44.98848</v>
      </c>
      <c r="P339" s="3" t="n">
        <f aca="false">E339*0.44704</f>
        <v>3.978656</v>
      </c>
      <c r="Q339" s="3" t="n">
        <f aca="false">F339*0.44704</f>
        <v>3.978656</v>
      </c>
    </row>
    <row r="340" customFormat="false" ht="15" hidden="false" customHeight="false" outlineLevel="0" collapsed="false">
      <c r="A340" s="8" t="n">
        <v>46315.8954380093</v>
      </c>
      <c r="B340" s="3" t="s">
        <v>375</v>
      </c>
      <c r="C340" s="0" t="n">
        <v>2</v>
      </c>
      <c r="D340" s="0" t="n">
        <v>147.6</v>
      </c>
      <c r="E340" s="0" t="n">
        <v>8.9</v>
      </c>
      <c r="F340" s="0" t="n">
        <v>8.9</v>
      </c>
      <c r="G340" s="0" t="n">
        <v>0</v>
      </c>
      <c r="H340" s="0" t="n">
        <v>0</v>
      </c>
      <c r="I340" s="0" t="n">
        <v>-0.1</v>
      </c>
      <c r="J340" s="0" t="n">
        <v>277</v>
      </c>
      <c r="K340" s="0" t="n">
        <v>-35.3631974</v>
      </c>
      <c r="L340" s="0" t="n">
        <v>149.1646751</v>
      </c>
      <c r="M340" s="0" t="n">
        <v>170.5</v>
      </c>
      <c r="N340" s="3" t="n">
        <f aca="false">(A340-$A$2)*86400</f>
        <v>351.942000095</v>
      </c>
      <c r="O340" s="3" t="n">
        <f aca="false">D340*0.3048</f>
        <v>44.98848</v>
      </c>
      <c r="P340" s="3" t="n">
        <f aca="false">E340*0.44704</f>
        <v>3.978656</v>
      </c>
      <c r="Q340" s="3" t="n">
        <f aca="false">F340*0.44704</f>
        <v>3.978656</v>
      </c>
    </row>
    <row r="341" customFormat="false" ht="15" hidden="false" customHeight="false" outlineLevel="0" collapsed="false">
      <c r="A341" s="8" t="n">
        <v>46315.8954499306</v>
      </c>
      <c r="B341" s="3" t="s">
        <v>376</v>
      </c>
      <c r="C341" s="0" t="n">
        <v>2</v>
      </c>
      <c r="D341" s="0" t="n">
        <v>147.6</v>
      </c>
      <c r="E341" s="0" t="n">
        <v>8.9</v>
      </c>
      <c r="F341" s="0" t="n">
        <v>8.9</v>
      </c>
      <c r="G341" s="0" t="n">
        <v>0</v>
      </c>
      <c r="H341" s="0" t="n">
        <v>0</v>
      </c>
      <c r="I341" s="0" t="n">
        <v>-0.1</v>
      </c>
      <c r="J341" s="0" t="n">
        <v>277</v>
      </c>
      <c r="K341" s="0" t="n">
        <v>-35.3631964</v>
      </c>
      <c r="L341" s="0" t="n">
        <v>149.1646663</v>
      </c>
      <c r="M341" s="0" t="n">
        <v>173.8</v>
      </c>
      <c r="N341" s="3" t="n">
        <f aca="false">(A341-$A$2)*86400</f>
        <v>352.97199916</v>
      </c>
      <c r="O341" s="3" t="n">
        <f aca="false">D341*0.3048</f>
        <v>44.98848</v>
      </c>
      <c r="P341" s="3" t="n">
        <f aca="false">E341*0.44704</f>
        <v>3.978656</v>
      </c>
      <c r="Q341" s="3" t="n">
        <f aca="false">F341*0.44704</f>
        <v>3.978656</v>
      </c>
    </row>
    <row r="342" customFormat="false" ht="15" hidden="false" customHeight="false" outlineLevel="0" collapsed="false">
      <c r="A342" s="8" t="n">
        <v>46315.8954612269</v>
      </c>
      <c r="B342" s="3" t="s">
        <v>377</v>
      </c>
      <c r="C342" s="0" t="n">
        <v>2</v>
      </c>
      <c r="D342" s="0" t="n">
        <v>147.6</v>
      </c>
      <c r="E342" s="0" t="n">
        <v>8.9</v>
      </c>
      <c r="F342" s="0" t="n">
        <v>8.9</v>
      </c>
      <c r="G342" s="0" t="n">
        <v>0</v>
      </c>
      <c r="H342" s="0" t="n">
        <v>0</v>
      </c>
      <c r="I342" s="0" t="n">
        <v>-0.1</v>
      </c>
      <c r="J342" s="0" t="n">
        <v>277</v>
      </c>
      <c r="K342" s="0" t="n">
        <v>-35.3631953</v>
      </c>
      <c r="L342" s="0" t="n">
        <v>149.1646576</v>
      </c>
      <c r="M342" s="0" t="n">
        <v>177.1</v>
      </c>
      <c r="N342" s="3" t="n">
        <f aca="false">(A342-$A$2)*86400</f>
        <v>353.9479997</v>
      </c>
      <c r="O342" s="3" t="n">
        <f aca="false">D342*0.3048</f>
        <v>44.98848</v>
      </c>
      <c r="P342" s="3" t="n">
        <f aca="false">E342*0.44704</f>
        <v>3.978656</v>
      </c>
      <c r="Q342" s="3" t="n">
        <f aca="false">F342*0.44704</f>
        <v>3.978656</v>
      </c>
    </row>
    <row r="343" customFormat="false" ht="15" hidden="false" customHeight="false" outlineLevel="0" collapsed="false">
      <c r="A343" s="8" t="n">
        <v>46315.8954727546</v>
      </c>
      <c r="B343" s="3" t="s">
        <v>378</v>
      </c>
      <c r="C343" s="0" t="n">
        <v>2</v>
      </c>
      <c r="D343" s="0" t="n">
        <v>147.6</v>
      </c>
      <c r="E343" s="0" t="n">
        <v>8.9</v>
      </c>
      <c r="F343" s="0" t="n">
        <v>8.9</v>
      </c>
      <c r="G343" s="0" t="n">
        <v>0</v>
      </c>
      <c r="H343" s="0" t="n">
        <v>0</v>
      </c>
      <c r="I343" s="0" t="n">
        <v>-0.1</v>
      </c>
      <c r="J343" s="0" t="n">
        <v>277</v>
      </c>
      <c r="K343" s="0" t="n">
        <v>-35.3631944</v>
      </c>
      <c r="L343" s="0" t="n">
        <v>149.1646489</v>
      </c>
      <c r="M343" s="0" t="n">
        <v>180.3</v>
      </c>
      <c r="N343" s="3" t="n">
        <f aca="false">(A343-$A$2)*86400</f>
        <v>354.94399988</v>
      </c>
      <c r="O343" s="3" t="n">
        <f aca="false">D343*0.3048</f>
        <v>44.98848</v>
      </c>
      <c r="P343" s="3" t="n">
        <f aca="false">E343*0.44704</f>
        <v>3.978656</v>
      </c>
      <c r="Q343" s="3" t="n">
        <f aca="false">F343*0.44704</f>
        <v>3.978656</v>
      </c>
    </row>
    <row r="344" customFormat="false" ht="15" hidden="false" customHeight="false" outlineLevel="0" collapsed="false">
      <c r="A344" s="8" t="n">
        <v>46315.8954843171</v>
      </c>
      <c r="B344" s="3" t="s">
        <v>379</v>
      </c>
      <c r="C344" s="0" t="n">
        <v>2</v>
      </c>
      <c r="D344" s="0" t="n">
        <v>147.6</v>
      </c>
      <c r="E344" s="0" t="n">
        <v>8.9</v>
      </c>
      <c r="F344" s="0" t="n">
        <v>8.9</v>
      </c>
      <c r="G344" s="0" t="n">
        <v>0</v>
      </c>
      <c r="H344" s="0" t="n">
        <v>0</v>
      </c>
      <c r="I344" s="0" t="n">
        <v>-0.1</v>
      </c>
      <c r="J344" s="0" t="n">
        <v>277</v>
      </c>
      <c r="K344" s="0" t="n">
        <v>-35.3631924</v>
      </c>
      <c r="L344" s="0" t="n">
        <v>149.1646315</v>
      </c>
      <c r="M344" s="0" t="n">
        <v>183.6</v>
      </c>
      <c r="N344" s="3" t="n">
        <f aca="false">(A344-$A$2)*86400</f>
        <v>355.942999944</v>
      </c>
      <c r="O344" s="3" t="n">
        <f aca="false">D344*0.3048</f>
        <v>44.98848</v>
      </c>
      <c r="P344" s="3" t="n">
        <f aca="false">E344*0.44704</f>
        <v>3.978656</v>
      </c>
      <c r="Q344" s="3" t="n">
        <f aca="false">F344*0.44704</f>
        <v>3.978656</v>
      </c>
    </row>
    <row r="345" customFormat="false" ht="15" hidden="false" customHeight="false" outlineLevel="0" collapsed="false">
      <c r="A345" s="8" t="n">
        <v>46315.8954959491</v>
      </c>
      <c r="B345" s="3" t="s">
        <v>380</v>
      </c>
      <c r="C345" s="0" t="n">
        <v>2</v>
      </c>
      <c r="D345" s="0" t="n">
        <v>147.6</v>
      </c>
      <c r="E345" s="0" t="n">
        <v>8.9</v>
      </c>
      <c r="F345" s="0" t="n">
        <v>8.9</v>
      </c>
      <c r="G345" s="0" t="n">
        <v>0</v>
      </c>
      <c r="H345" s="0" t="n">
        <v>0</v>
      </c>
      <c r="I345" s="0" t="n">
        <v>-0.1</v>
      </c>
      <c r="J345" s="0" t="n">
        <v>277</v>
      </c>
      <c r="K345" s="0" t="n">
        <v>-35.3631914</v>
      </c>
      <c r="L345" s="0" t="n">
        <v>149.1646228</v>
      </c>
      <c r="M345" s="0" t="n">
        <v>186.9</v>
      </c>
      <c r="N345" s="3" t="n">
        <f aca="false">(A345-$A$2)*86400</f>
        <v>356.947999773</v>
      </c>
      <c r="O345" s="3" t="n">
        <f aca="false">D345*0.3048</f>
        <v>44.98848</v>
      </c>
      <c r="P345" s="3" t="n">
        <f aca="false">E345*0.44704</f>
        <v>3.978656</v>
      </c>
      <c r="Q345" s="3" t="n">
        <f aca="false">F345*0.44704</f>
        <v>3.978656</v>
      </c>
    </row>
    <row r="346" customFormat="false" ht="15" hidden="false" customHeight="false" outlineLevel="0" collapsed="false">
      <c r="A346" s="8" t="n">
        <v>46315.8955075347</v>
      </c>
      <c r="B346" s="3" t="s">
        <v>381</v>
      </c>
      <c r="C346" s="0" t="n">
        <v>2</v>
      </c>
      <c r="D346" s="0" t="n">
        <v>147.6</v>
      </c>
      <c r="E346" s="0" t="n">
        <v>8.9</v>
      </c>
      <c r="F346" s="0" t="n">
        <v>8.9</v>
      </c>
      <c r="G346" s="0" t="n">
        <v>0</v>
      </c>
      <c r="H346" s="0" t="n">
        <v>0</v>
      </c>
      <c r="I346" s="0" t="n">
        <v>-0.1</v>
      </c>
      <c r="J346" s="0" t="n">
        <v>277</v>
      </c>
      <c r="K346" s="0" t="n">
        <v>-35.3631904</v>
      </c>
      <c r="L346" s="0" t="n">
        <v>149.164614</v>
      </c>
      <c r="M346" s="0" t="n">
        <v>190.1</v>
      </c>
      <c r="N346" s="3" t="n">
        <f aca="false">(A346-$A$2)*86400</f>
        <v>357.949000806</v>
      </c>
      <c r="O346" s="3" t="n">
        <f aca="false">D346*0.3048</f>
        <v>44.98848</v>
      </c>
      <c r="P346" s="3" t="n">
        <f aca="false">E346*0.44704</f>
        <v>3.978656</v>
      </c>
      <c r="Q346" s="3" t="n">
        <f aca="false">F346*0.44704</f>
        <v>3.978656</v>
      </c>
    </row>
    <row r="347" customFormat="false" ht="15" hidden="false" customHeight="false" outlineLevel="0" collapsed="false">
      <c r="A347" s="8" t="n">
        <v>46315.8955192477</v>
      </c>
      <c r="B347" s="3" t="s">
        <v>382</v>
      </c>
      <c r="C347" s="0" t="n">
        <v>2</v>
      </c>
      <c r="D347" s="0" t="n">
        <v>147.6</v>
      </c>
      <c r="E347" s="0" t="n">
        <v>8.9</v>
      </c>
      <c r="F347" s="0" t="n">
        <v>8.9</v>
      </c>
      <c r="G347" s="0" t="n">
        <v>0</v>
      </c>
      <c r="H347" s="0" t="n">
        <v>0</v>
      </c>
      <c r="I347" s="0" t="n">
        <v>-0.1</v>
      </c>
      <c r="J347" s="0" t="n">
        <v>277</v>
      </c>
      <c r="K347" s="0" t="n">
        <v>-35.3631893</v>
      </c>
      <c r="L347" s="0" t="n">
        <v>149.1646053</v>
      </c>
      <c r="M347" s="0" t="n">
        <v>193.4</v>
      </c>
      <c r="N347" s="3" t="n">
        <f aca="false">(A347-$A$2)*86400</f>
        <v>358.961000572</v>
      </c>
      <c r="O347" s="3" t="n">
        <f aca="false">D347*0.3048</f>
        <v>44.98848</v>
      </c>
      <c r="P347" s="3" t="n">
        <f aca="false">E347*0.44704</f>
        <v>3.978656</v>
      </c>
      <c r="Q347" s="3" t="n">
        <f aca="false">F347*0.44704</f>
        <v>3.978656</v>
      </c>
    </row>
    <row r="348" customFormat="false" ht="15" hidden="false" customHeight="false" outlineLevel="0" collapsed="false">
      <c r="A348" s="8" t="n">
        <v>46315.8955308912</v>
      </c>
      <c r="B348" s="3" t="s">
        <v>383</v>
      </c>
      <c r="C348" s="0" t="n">
        <v>2</v>
      </c>
      <c r="D348" s="0" t="n">
        <v>147.6</v>
      </c>
      <c r="E348" s="0" t="n">
        <v>8.9</v>
      </c>
      <c r="F348" s="0" t="n">
        <v>8.9</v>
      </c>
      <c r="G348" s="0" t="n">
        <v>0</v>
      </c>
      <c r="H348" s="0" t="n">
        <v>0</v>
      </c>
      <c r="I348" s="0" t="n">
        <v>-0.1</v>
      </c>
      <c r="J348" s="0" t="n">
        <v>277</v>
      </c>
      <c r="K348" s="0" t="n">
        <v>-35.3631873</v>
      </c>
      <c r="L348" s="0" t="n">
        <v>149.1645878</v>
      </c>
      <c r="M348" s="0" t="n">
        <v>196.7</v>
      </c>
      <c r="N348" s="3" t="n">
        <f aca="false">(A348-$A$2)*86400</f>
        <v>359.966999315</v>
      </c>
      <c r="O348" s="3" t="n">
        <f aca="false">D348*0.3048</f>
        <v>44.98848</v>
      </c>
      <c r="P348" s="3" t="n">
        <f aca="false">E348*0.44704</f>
        <v>3.978656</v>
      </c>
      <c r="Q348" s="3" t="n">
        <f aca="false">F348*0.44704</f>
        <v>3.978656</v>
      </c>
    </row>
    <row r="349" customFormat="false" ht="15" hidden="false" customHeight="false" outlineLevel="0" collapsed="false">
      <c r="A349" s="8" t="n">
        <v>46315.8955422801</v>
      </c>
      <c r="B349" s="3" t="s">
        <v>384</v>
      </c>
      <c r="C349" s="0" t="n">
        <v>2</v>
      </c>
      <c r="D349" s="0" t="n">
        <v>147.6</v>
      </c>
      <c r="E349" s="0" t="n">
        <v>8.9</v>
      </c>
      <c r="F349" s="0" t="n">
        <v>8.9</v>
      </c>
      <c r="G349" s="0" t="n">
        <v>0</v>
      </c>
      <c r="H349" s="0" t="n">
        <v>0</v>
      </c>
      <c r="I349" s="0" t="n">
        <v>-0.1</v>
      </c>
      <c r="J349" s="0" t="n">
        <v>277</v>
      </c>
      <c r="K349" s="0" t="n">
        <v>-35.3631862</v>
      </c>
      <c r="L349" s="0" t="n">
        <v>149.1645791</v>
      </c>
      <c r="M349" s="0" t="n">
        <v>200</v>
      </c>
      <c r="N349" s="3" t="n">
        <f aca="false">(A349-$A$2)*86400</f>
        <v>360.950999334</v>
      </c>
      <c r="O349" s="3" t="n">
        <f aca="false">D349*0.3048</f>
        <v>44.98848</v>
      </c>
      <c r="P349" s="3" t="n">
        <f aca="false">E349*0.44704</f>
        <v>3.978656</v>
      </c>
      <c r="Q349" s="3" t="n">
        <f aca="false">F349*0.44704</f>
        <v>3.978656</v>
      </c>
    </row>
    <row r="350" customFormat="false" ht="15" hidden="false" customHeight="false" outlineLevel="0" collapsed="false">
      <c r="A350" s="8" t="n">
        <v>46315.8955538079</v>
      </c>
      <c r="B350" s="3" t="s">
        <v>385</v>
      </c>
      <c r="C350" s="0" t="n">
        <v>2</v>
      </c>
      <c r="D350" s="0" t="n">
        <v>147.6</v>
      </c>
      <c r="E350" s="0" t="n">
        <v>8.9</v>
      </c>
      <c r="F350" s="0" t="n">
        <v>8.9</v>
      </c>
      <c r="G350" s="0" t="n">
        <v>0</v>
      </c>
      <c r="H350" s="0" t="n">
        <v>0</v>
      </c>
      <c r="I350" s="0" t="n">
        <v>-0.1</v>
      </c>
      <c r="J350" s="0" t="n">
        <v>277</v>
      </c>
      <c r="K350" s="0" t="n">
        <v>-35.3631853</v>
      </c>
      <c r="L350" s="0" t="n">
        <v>149.1645704</v>
      </c>
      <c r="M350" s="0" t="n">
        <v>203.2</v>
      </c>
      <c r="N350" s="3" t="n">
        <f aca="false">(A350-$A$2)*86400</f>
        <v>361.947000143</v>
      </c>
      <c r="O350" s="3" t="n">
        <f aca="false">D350*0.3048</f>
        <v>44.98848</v>
      </c>
      <c r="P350" s="3" t="n">
        <f aca="false">E350*0.44704</f>
        <v>3.978656</v>
      </c>
      <c r="Q350" s="3" t="n">
        <f aca="false">F350*0.44704</f>
        <v>3.978656</v>
      </c>
    </row>
    <row r="351" customFormat="false" ht="15" hidden="false" customHeight="false" outlineLevel="0" collapsed="false">
      <c r="A351" s="8" t="n">
        <v>46315.8955655903</v>
      </c>
      <c r="B351" s="3" t="s">
        <v>386</v>
      </c>
      <c r="C351" s="0" t="n">
        <v>2</v>
      </c>
      <c r="D351" s="0" t="n">
        <v>147.6</v>
      </c>
      <c r="E351" s="0" t="n">
        <v>8.9</v>
      </c>
      <c r="F351" s="0" t="n">
        <v>8.9</v>
      </c>
      <c r="G351" s="0" t="n">
        <v>0</v>
      </c>
      <c r="H351" s="0" t="n">
        <v>0</v>
      </c>
      <c r="I351" s="0" t="n">
        <v>-0.1</v>
      </c>
      <c r="J351" s="0" t="n">
        <v>277</v>
      </c>
      <c r="K351" s="0" t="n">
        <v>-35.3631843</v>
      </c>
      <c r="L351" s="0" t="n">
        <v>149.1645617</v>
      </c>
      <c r="M351" s="0" t="n">
        <v>206.5</v>
      </c>
      <c r="N351" s="3" t="n">
        <f aca="false">(A351-$A$2)*86400</f>
        <v>362.965000304</v>
      </c>
      <c r="O351" s="3" t="n">
        <f aca="false">D351*0.3048</f>
        <v>44.98848</v>
      </c>
      <c r="P351" s="3" t="n">
        <f aca="false">E351*0.44704</f>
        <v>3.978656</v>
      </c>
      <c r="Q351" s="3" t="n">
        <f aca="false">F351*0.44704</f>
        <v>3.978656</v>
      </c>
    </row>
    <row r="352" customFormat="false" ht="15" hidden="false" customHeight="false" outlineLevel="0" collapsed="false">
      <c r="A352" s="8" t="n">
        <v>46315.8955769907</v>
      </c>
      <c r="B352" s="3" t="s">
        <v>387</v>
      </c>
      <c r="C352" s="0" t="n">
        <v>2</v>
      </c>
      <c r="D352" s="0" t="n">
        <v>147.6</v>
      </c>
      <c r="E352" s="0" t="n">
        <v>8.9</v>
      </c>
      <c r="F352" s="0" t="n">
        <v>8.9</v>
      </c>
      <c r="G352" s="0" t="n">
        <v>0</v>
      </c>
      <c r="H352" s="0" t="n">
        <v>0</v>
      </c>
      <c r="I352" s="0" t="n">
        <v>-0.1</v>
      </c>
      <c r="J352" s="0" t="n">
        <v>277</v>
      </c>
      <c r="K352" s="0" t="n">
        <v>-35.3631823</v>
      </c>
      <c r="L352" s="0" t="n">
        <v>149.1645443</v>
      </c>
      <c r="M352" s="0" t="n">
        <v>209.8</v>
      </c>
      <c r="N352" s="3" t="n">
        <f aca="false">(A352-$A$2)*86400</f>
        <v>363.949999865</v>
      </c>
      <c r="O352" s="3" t="n">
        <f aca="false">D352*0.3048</f>
        <v>44.98848</v>
      </c>
      <c r="P352" s="3" t="n">
        <f aca="false">E352*0.44704</f>
        <v>3.978656</v>
      </c>
      <c r="Q352" s="3" t="n">
        <f aca="false">F352*0.44704</f>
        <v>3.978656</v>
      </c>
    </row>
    <row r="353" customFormat="false" ht="15" hidden="false" customHeight="false" outlineLevel="0" collapsed="false">
      <c r="A353" s="8" t="n">
        <v>46315.8955885532</v>
      </c>
      <c r="B353" s="3" t="s">
        <v>388</v>
      </c>
      <c r="C353" s="0" t="n">
        <v>2</v>
      </c>
      <c r="D353" s="0" t="n">
        <v>147.6</v>
      </c>
      <c r="E353" s="0" t="n">
        <v>8.9</v>
      </c>
      <c r="F353" s="0" t="n">
        <v>8.9</v>
      </c>
      <c r="G353" s="0" t="n">
        <v>0</v>
      </c>
      <c r="H353" s="0" t="n">
        <v>0</v>
      </c>
      <c r="I353" s="0" t="n">
        <v>-0.1</v>
      </c>
      <c r="J353" s="0" t="n">
        <v>277</v>
      </c>
      <c r="K353" s="0" t="n">
        <v>-35.3631812</v>
      </c>
      <c r="L353" s="0" t="n">
        <v>149.1645355</v>
      </c>
      <c r="M353" s="0" t="n">
        <v>213.1</v>
      </c>
      <c r="N353" s="3" t="n">
        <f aca="false">(A353-$A$2)*86400</f>
        <v>364.948999928</v>
      </c>
      <c r="O353" s="3" t="n">
        <f aca="false">D353*0.3048</f>
        <v>44.98848</v>
      </c>
      <c r="P353" s="3" t="n">
        <f aca="false">E353*0.44704</f>
        <v>3.978656</v>
      </c>
      <c r="Q353" s="3" t="n">
        <f aca="false">F353*0.44704</f>
        <v>3.978656</v>
      </c>
    </row>
    <row r="354" customFormat="false" ht="15" hidden="false" customHeight="false" outlineLevel="0" collapsed="false">
      <c r="A354" s="8" t="n">
        <v>46315.8956001736</v>
      </c>
      <c r="B354" s="3" t="s">
        <v>389</v>
      </c>
      <c r="C354" s="0" t="n">
        <v>2</v>
      </c>
      <c r="D354" s="0" t="n">
        <v>147.6</v>
      </c>
      <c r="E354" s="0" t="n">
        <v>8.9</v>
      </c>
      <c r="F354" s="0" t="n">
        <v>8.9</v>
      </c>
      <c r="G354" s="0" t="n">
        <v>0</v>
      </c>
      <c r="H354" s="0" t="n">
        <v>0</v>
      </c>
      <c r="I354" s="0" t="n">
        <v>-0.1</v>
      </c>
      <c r="J354" s="0" t="n">
        <v>277</v>
      </c>
      <c r="K354" s="0" t="n">
        <v>-35.3631802</v>
      </c>
      <c r="L354" s="0" t="n">
        <v>149.1645268</v>
      </c>
      <c r="M354" s="0" t="n">
        <v>216.3</v>
      </c>
      <c r="N354" s="3" t="n">
        <f aca="false">(A354-$A$2)*86400</f>
        <v>365.952999587</v>
      </c>
      <c r="O354" s="3" t="n">
        <f aca="false">D354*0.3048</f>
        <v>44.98848</v>
      </c>
      <c r="P354" s="3" t="n">
        <f aca="false">E354*0.44704</f>
        <v>3.978656</v>
      </c>
      <c r="Q354" s="3" t="n">
        <f aca="false">F354*0.44704</f>
        <v>3.978656</v>
      </c>
    </row>
    <row r="355" customFormat="false" ht="15" hidden="false" customHeight="false" outlineLevel="0" collapsed="false">
      <c r="A355" s="8" t="n">
        <v>46315.8956124769</v>
      </c>
      <c r="B355" s="3" t="s">
        <v>390</v>
      </c>
      <c r="C355" s="0" t="n">
        <v>2</v>
      </c>
      <c r="D355" s="0" t="n">
        <v>147.6</v>
      </c>
      <c r="E355" s="0" t="n">
        <v>8.9</v>
      </c>
      <c r="F355" s="0" t="n">
        <v>8.9</v>
      </c>
      <c r="G355" s="0" t="n">
        <v>0</v>
      </c>
      <c r="H355" s="0" t="n">
        <v>0</v>
      </c>
      <c r="I355" s="0" t="n">
        <v>-0.1</v>
      </c>
      <c r="J355" s="0" t="n">
        <v>277</v>
      </c>
      <c r="K355" s="0" t="n">
        <v>-35.3631793</v>
      </c>
      <c r="L355" s="0" t="n">
        <v>149.1645181</v>
      </c>
      <c r="M355" s="0" t="n">
        <v>219.6</v>
      </c>
      <c r="N355" s="3" t="n">
        <f aca="false">(A355-$A$2)*86400</f>
        <v>367.015999881</v>
      </c>
      <c r="O355" s="3" t="n">
        <f aca="false">D355*0.3048</f>
        <v>44.98848</v>
      </c>
      <c r="P355" s="3" t="n">
        <f aca="false">E355*0.44704</f>
        <v>3.978656</v>
      </c>
      <c r="Q355" s="3" t="n">
        <f aca="false">F355*0.44704</f>
        <v>3.978656</v>
      </c>
    </row>
    <row r="356" customFormat="false" ht="15" hidden="false" customHeight="false" outlineLevel="0" collapsed="false">
      <c r="A356" s="8" t="n">
        <v>46315.8956234838</v>
      </c>
      <c r="B356" s="3" t="s">
        <v>390</v>
      </c>
      <c r="C356" s="0" t="n">
        <v>2</v>
      </c>
      <c r="D356" s="0" t="n">
        <v>147.6</v>
      </c>
      <c r="E356" s="0" t="n">
        <v>8.9</v>
      </c>
      <c r="F356" s="0" t="n">
        <v>8.9</v>
      </c>
      <c r="G356" s="0" t="n">
        <v>0</v>
      </c>
      <c r="H356" s="0" t="n">
        <v>0</v>
      </c>
      <c r="I356" s="0" t="n">
        <v>-0.1</v>
      </c>
      <c r="J356" s="0" t="n">
        <v>277</v>
      </c>
      <c r="K356" s="0" t="n">
        <v>-35.3631772</v>
      </c>
      <c r="L356" s="0" t="n">
        <v>149.1645006</v>
      </c>
      <c r="M356" s="0" t="n">
        <v>222.9</v>
      </c>
      <c r="N356" s="3" t="n">
        <f aca="false">(A356-$A$2)*86400</f>
        <v>367.966999928</v>
      </c>
      <c r="O356" s="3" t="n">
        <f aca="false">D356*0.3048</f>
        <v>44.98848</v>
      </c>
      <c r="P356" s="3" t="n">
        <f aca="false">E356*0.44704</f>
        <v>3.978656</v>
      </c>
      <c r="Q356" s="3" t="n">
        <f aca="false">F356*0.44704</f>
        <v>3.978656</v>
      </c>
    </row>
    <row r="357" customFormat="false" ht="15" hidden="false" customHeight="false" outlineLevel="0" collapsed="false">
      <c r="A357" s="8" t="n">
        <v>46315.8956350463</v>
      </c>
      <c r="B357" s="3" t="s">
        <v>391</v>
      </c>
      <c r="C357" s="0" t="n">
        <v>2</v>
      </c>
      <c r="D357" s="0" t="n">
        <v>147.6</v>
      </c>
      <c r="E357" s="0" t="n">
        <v>8.9</v>
      </c>
      <c r="F357" s="0" t="n">
        <v>8.9</v>
      </c>
      <c r="G357" s="0" t="n">
        <v>0</v>
      </c>
      <c r="H357" s="0" t="n">
        <v>0</v>
      </c>
      <c r="I357" s="0" t="n">
        <v>-0.1</v>
      </c>
      <c r="J357" s="0" t="n">
        <v>277</v>
      </c>
      <c r="K357" s="0" t="n">
        <v>-35.3631772</v>
      </c>
      <c r="L357" s="0" t="n">
        <v>149.1645006</v>
      </c>
      <c r="M357" s="0" t="n">
        <v>226.2</v>
      </c>
      <c r="N357" s="3" t="n">
        <f aca="false">(A357-$A$2)*86400</f>
        <v>368.965999991</v>
      </c>
      <c r="O357" s="3" t="n">
        <f aca="false">D357*0.3048</f>
        <v>44.98848</v>
      </c>
      <c r="P357" s="3" t="n">
        <f aca="false">E357*0.44704</f>
        <v>3.978656</v>
      </c>
      <c r="Q357" s="3" t="n">
        <f aca="false">F357*0.44704</f>
        <v>3.978656</v>
      </c>
    </row>
    <row r="358" customFormat="false" ht="15" hidden="false" customHeight="false" outlineLevel="0" collapsed="false">
      <c r="A358" s="8" t="n">
        <v>46315.8956464352</v>
      </c>
      <c r="B358" s="3" t="s">
        <v>392</v>
      </c>
      <c r="C358" s="0" t="n">
        <v>2</v>
      </c>
      <c r="D358" s="0" t="n">
        <v>147.6</v>
      </c>
      <c r="E358" s="0" t="n">
        <v>8.9</v>
      </c>
      <c r="F358" s="0" t="n">
        <v>8.9</v>
      </c>
      <c r="G358" s="0" t="n">
        <v>0</v>
      </c>
      <c r="H358" s="0" t="n">
        <v>0</v>
      </c>
      <c r="I358" s="0" t="n">
        <v>-0.1</v>
      </c>
      <c r="J358" s="0" t="n">
        <v>277</v>
      </c>
      <c r="K358" s="0" t="n">
        <v>-35.3631763</v>
      </c>
      <c r="L358" s="0" t="n">
        <v>149.1644919</v>
      </c>
      <c r="M358" s="0" t="n">
        <v>226.2</v>
      </c>
      <c r="N358" s="3" t="n">
        <f aca="false">(A358-$A$2)*86400</f>
        <v>369.95000001</v>
      </c>
      <c r="O358" s="3" t="n">
        <f aca="false">D358*0.3048</f>
        <v>44.98848</v>
      </c>
      <c r="P358" s="3" t="n">
        <f aca="false">E358*0.44704</f>
        <v>3.978656</v>
      </c>
      <c r="Q358" s="3" t="n">
        <f aca="false">F358*0.44704</f>
        <v>3.978656</v>
      </c>
    </row>
    <row r="359" customFormat="false" ht="15" hidden="false" customHeight="false" outlineLevel="0" collapsed="false">
      <c r="A359" s="8" t="n">
        <v>46315.8956581366</v>
      </c>
      <c r="B359" s="3" t="s">
        <v>393</v>
      </c>
      <c r="C359" s="0" t="n">
        <v>2</v>
      </c>
      <c r="D359" s="0" t="n">
        <v>147.6</v>
      </c>
      <c r="E359" s="0" t="n">
        <v>8.9</v>
      </c>
      <c r="F359" s="0" t="n">
        <v>8.9</v>
      </c>
      <c r="G359" s="0" t="n">
        <v>0</v>
      </c>
      <c r="H359" s="0" t="n">
        <v>0</v>
      </c>
      <c r="I359" s="0" t="n">
        <v>-0.1</v>
      </c>
      <c r="J359" s="0" t="n">
        <v>277</v>
      </c>
      <c r="K359" s="0" t="n">
        <v>-35.3631752</v>
      </c>
      <c r="L359" s="0" t="n">
        <v>149.1644832</v>
      </c>
      <c r="M359" s="0" t="n">
        <v>229.4</v>
      </c>
      <c r="N359" s="3" t="n">
        <f aca="false">(A359-$A$2)*86400</f>
        <v>370.960999606</v>
      </c>
      <c r="O359" s="3" t="n">
        <f aca="false">D359*0.3048</f>
        <v>44.98848</v>
      </c>
      <c r="P359" s="3" t="n">
        <f aca="false">E359*0.44704</f>
        <v>3.978656</v>
      </c>
      <c r="Q359" s="3" t="n">
        <f aca="false">F359*0.44704</f>
        <v>3.978656</v>
      </c>
    </row>
    <row r="360" customFormat="false" ht="15" hidden="false" customHeight="false" outlineLevel="0" collapsed="false">
      <c r="A360" s="8" t="n">
        <v>46315.8956696528</v>
      </c>
      <c r="B360" s="3" t="s">
        <v>394</v>
      </c>
      <c r="C360" s="0" t="n">
        <v>2</v>
      </c>
      <c r="D360" s="0" t="n">
        <v>147.6</v>
      </c>
      <c r="E360" s="0" t="n">
        <v>8.9</v>
      </c>
      <c r="F360" s="0" t="n">
        <v>8.9</v>
      </c>
      <c r="G360" s="0" t="n">
        <v>0</v>
      </c>
      <c r="H360" s="0" t="n">
        <v>0</v>
      </c>
      <c r="I360" s="0" t="n">
        <v>-0.1</v>
      </c>
      <c r="J360" s="0" t="n">
        <v>277</v>
      </c>
      <c r="K360" s="0" t="n">
        <v>-35.3631743</v>
      </c>
      <c r="L360" s="0" t="n">
        <v>149.1644744</v>
      </c>
      <c r="M360" s="0" t="n">
        <v>232.7</v>
      </c>
      <c r="N360" s="3" t="n">
        <f aca="false">(A360-$A$2)*86400</f>
        <v>371.955998986</v>
      </c>
      <c r="O360" s="3" t="n">
        <f aca="false">D360*0.3048</f>
        <v>44.98848</v>
      </c>
      <c r="P360" s="3" t="n">
        <f aca="false">E360*0.44704</f>
        <v>3.978656</v>
      </c>
      <c r="Q360" s="3" t="n">
        <f aca="false">F360*0.44704</f>
        <v>3.978656</v>
      </c>
    </row>
    <row r="361" customFormat="false" ht="15" hidden="false" customHeight="false" outlineLevel="0" collapsed="false">
      <c r="A361" s="8" t="n">
        <v>46315.8956814583</v>
      </c>
      <c r="B361" s="3" t="s">
        <v>395</v>
      </c>
      <c r="C361" s="0" t="n">
        <v>2</v>
      </c>
      <c r="D361" s="0" t="n">
        <v>147.6</v>
      </c>
      <c r="E361" s="0" t="n">
        <v>8.9</v>
      </c>
      <c r="F361" s="0" t="n">
        <v>8.9</v>
      </c>
      <c r="G361" s="0" t="n">
        <v>0</v>
      </c>
      <c r="H361" s="0" t="n">
        <v>0</v>
      </c>
      <c r="I361" s="0" t="n">
        <v>-0.1</v>
      </c>
      <c r="J361" s="0" t="n">
        <v>277</v>
      </c>
      <c r="K361" s="0" t="n">
        <v>-35.3631723</v>
      </c>
      <c r="L361" s="0" t="n">
        <v>149.164457</v>
      </c>
      <c r="M361" s="0" t="n">
        <v>236</v>
      </c>
      <c r="N361" s="3" t="n">
        <f aca="false">(A361-$A$2)*86400</f>
        <v>372.976000746</v>
      </c>
      <c r="O361" s="3" t="n">
        <f aca="false">D361*0.3048</f>
        <v>44.98848</v>
      </c>
      <c r="P361" s="3" t="n">
        <f aca="false">E361*0.44704</f>
        <v>3.978656</v>
      </c>
      <c r="Q361" s="3" t="n">
        <f aca="false">F361*0.44704</f>
        <v>3.978656</v>
      </c>
    </row>
    <row r="362" customFormat="false" ht="15" hidden="false" customHeight="false" outlineLevel="0" collapsed="false">
      <c r="A362" s="8" t="n">
        <v>46315.8956931019</v>
      </c>
      <c r="B362" s="3" t="s">
        <v>396</v>
      </c>
      <c r="C362" s="0" t="n">
        <v>2</v>
      </c>
      <c r="D362" s="0" t="n">
        <v>147.6</v>
      </c>
      <c r="E362" s="0" t="n">
        <v>8.9</v>
      </c>
      <c r="F362" s="0" t="n">
        <v>8.9</v>
      </c>
      <c r="G362" s="0" t="n">
        <v>0</v>
      </c>
      <c r="H362" s="0" t="n">
        <v>0</v>
      </c>
      <c r="I362" s="0" t="n">
        <v>-0.1</v>
      </c>
      <c r="J362" s="0" t="n">
        <v>277</v>
      </c>
      <c r="K362" s="0" t="n">
        <v>-35.3631713</v>
      </c>
      <c r="L362" s="0" t="n">
        <v>149.1644483</v>
      </c>
      <c r="M362" s="0" t="n">
        <v>239.3</v>
      </c>
      <c r="N362" s="3" t="n">
        <f aca="false">(A362-$A$2)*86400</f>
        <v>373.981999489</v>
      </c>
      <c r="O362" s="3" t="n">
        <f aca="false">D362*0.3048</f>
        <v>44.98848</v>
      </c>
      <c r="P362" s="3" t="n">
        <f aca="false">E362*0.44704</f>
        <v>3.978656</v>
      </c>
      <c r="Q362" s="3" t="n">
        <f aca="false">F362*0.44704</f>
        <v>3.978656</v>
      </c>
    </row>
    <row r="363" customFormat="false" ht="15" hidden="false" customHeight="false" outlineLevel="0" collapsed="false">
      <c r="A363" s="8" t="n">
        <v>46315.8957043287</v>
      </c>
      <c r="B363" s="3" t="s">
        <v>397</v>
      </c>
      <c r="C363" s="0" t="n">
        <v>2</v>
      </c>
      <c r="D363" s="0" t="n">
        <v>147.6</v>
      </c>
      <c r="E363" s="0" t="n">
        <v>8.9</v>
      </c>
      <c r="F363" s="0" t="n">
        <v>8.9</v>
      </c>
      <c r="G363" s="0" t="n">
        <v>0</v>
      </c>
      <c r="H363" s="0" t="n">
        <v>0</v>
      </c>
      <c r="I363" s="0" t="n">
        <v>-0.1</v>
      </c>
      <c r="J363" s="0" t="n">
        <v>277</v>
      </c>
      <c r="K363" s="0" t="n">
        <v>-35.3631703</v>
      </c>
      <c r="L363" s="0" t="n">
        <v>149.1644395</v>
      </c>
      <c r="M363" s="0" t="n">
        <v>242.6</v>
      </c>
      <c r="N363" s="3" t="n">
        <f aca="false">(A363-$A$2)*86400</f>
        <v>374.951999634</v>
      </c>
      <c r="O363" s="3" t="n">
        <f aca="false">D363*0.3048</f>
        <v>44.98848</v>
      </c>
      <c r="P363" s="3" t="n">
        <f aca="false">E363*0.44704</f>
        <v>3.978656</v>
      </c>
      <c r="Q363" s="3" t="n">
        <f aca="false">F363*0.44704</f>
        <v>3.978656</v>
      </c>
    </row>
    <row r="364" customFormat="false" ht="15" hidden="false" customHeight="false" outlineLevel="0" collapsed="false">
      <c r="A364" s="8" t="n">
        <v>46315.8957167014</v>
      </c>
      <c r="B364" s="3" t="s">
        <v>398</v>
      </c>
      <c r="C364" s="0" t="n">
        <v>2</v>
      </c>
      <c r="D364" s="0" t="n">
        <v>147.6</v>
      </c>
      <c r="E364" s="0" t="n">
        <v>8.9</v>
      </c>
      <c r="F364" s="0" t="n">
        <v>8.9</v>
      </c>
      <c r="G364" s="0" t="n">
        <v>0</v>
      </c>
      <c r="H364" s="0" t="n">
        <v>0</v>
      </c>
      <c r="I364" s="0" t="n">
        <v>-0.1</v>
      </c>
      <c r="J364" s="0" t="n">
        <v>277</v>
      </c>
      <c r="K364" s="0" t="n">
        <v>-35.3631692</v>
      </c>
      <c r="L364" s="0" t="n">
        <v>149.1644308</v>
      </c>
      <c r="M364" s="0" t="n">
        <v>245.8</v>
      </c>
      <c r="N364" s="3" t="n">
        <f aca="false">(A364-$A$2)*86400</f>
        <v>376.020999695</v>
      </c>
      <c r="O364" s="3" t="n">
        <f aca="false">D364*0.3048</f>
        <v>44.98848</v>
      </c>
      <c r="P364" s="3" t="n">
        <f aca="false">E364*0.44704</f>
        <v>3.978656</v>
      </c>
      <c r="Q364" s="3" t="n">
        <f aca="false">F364*0.44704</f>
        <v>3.978656</v>
      </c>
    </row>
    <row r="365" customFormat="false" ht="15" hidden="false" customHeight="false" outlineLevel="0" collapsed="false">
      <c r="A365" s="8" t="n">
        <v>46315.8957277083</v>
      </c>
      <c r="B365" s="3" t="s">
        <v>398</v>
      </c>
      <c r="C365" s="0" t="n">
        <v>2</v>
      </c>
      <c r="D365" s="0" t="n">
        <v>147.6</v>
      </c>
      <c r="E365" s="0" t="n">
        <v>8.9</v>
      </c>
      <c r="F365" s="0" t="n">
        <v>8.9</v>
      </c>
      <c r="G365" s="0" t="n">
        <v>0</v>
      </c>
      <c r="H365" s="0" t="n">
        <v>0</v>
      </c>
      <c r="I365" s="0" t="n">
        <v>-0.1</v>
      </c>
      <c r="J365" s="0" t="n">
        <v>277</v>
      </c>
      <c r="K365" s="0" t="n">
        <v>-35.3631692</v>
      </c>
      <c r="L365" s="0" t="n">
        <v>149.1644308</v>
      </c>
      <c r="M365" s="0" t="n">
        <v>245.8</v>
      </c>
      <c r="N365" s="3" t="n">
        <f aca="false">(A365-$A$2)*86400</f>
        <v>376.971999742</v>
      </c>
      <c r="O365" s="3" t="n">
        <f aca="false">D365*0.3048</f>
        <v>44.98848</v>
      </c>
      <c r="P365" s="3" t="n">
        <f aca="false">E365*0.44704</f>
        <v>3.978656</v>
      </c>
      <c r="Q365" s="3" t="n">
        <f aca="false">F365*0.44704</f>
        <v>3.978656</v>
      </c>
    </row>
    <row r="366" customFormat="false" ht="15" hidden="false" customHeight="false" outlineLevel="0" collapsed="false">
      <c r="A366" s="8" t="n">
        <v>46315.8957390741</v>
      </c>
      <c r="B366" s="3" t="s">
        <v>399</v>
      </c>
      <c r="C366" s="0" t="n">
        <v>2</v>
      </c>
      <c r="D366" s="0" t="n">
        <v>147.6</v>
      </c>
      <c r="E366" s="0" t="n">
        <v>8.9</v>
      </c>
      <c r="F366" s="0" t="n">
        <v>8.9</v>
      </c>
      <c r="G366" s="0" t="n">
        <v>0</v>
      </c>
      <c r="H366" s="0" t="n">
        <v>0</v>
      </c>
      <c r="I366" s="0" t="n">
        <v>-0.2</v>
      </c>
      <c r="J366" s="0" t="n">
        <v>277</v>
      </c>
      <c r="K366" s="0" t="n">
        <v>-35.3631673</v>
      </c>
      <c r="L366" s="0" t="n">
        <v>149.1644134</v>
      </c>
      <c r="M366" s="0" t="n">
        <v>249.1</v>
      </c>
      <c r="N366" s="3" t="n">
        <f aca="false">(A366-$A$2)*86400</f>
        <v>377.954000676</v>
      </c>
      <c r="O366" s="3" t="n">
        <f aca="false">D366*0.3048</f>
        <v>44.98848</v>
      </c>
      <c r="P366" s="3" t="n">
        <f aca="false">E366*0.44704</f>
        <v>3.978656</v>
      </c>
      <c r="Q366" s="3" t="n">
        <f aca="false">F366*0.44704</f>
        <v>3.978656</v>
      </c>
    </row>
    <row r="367" customFormat="false" ht="15" hidden="false" customHeight="false" outlineLevel="0" collapsed="false">
      <c r="A367" s="8" t="n">
        <v>46315.895750625</v>
      </c>
      <c r="B367" s="3" t="s">
        <v>400</v>
      </c>
      <c r="C367" s="0" t="n">
        <v>2</v>
      </c>
      <c r="D367" s="0" t="n">
        <v>147.6</v>
      </c>
      <c r="E367" s="0" t="n">
        <v>8.9</v>
      </c>
      <c r="F367" s="0" t="n">
        <v>8.9</v>
      </c>
      <c r="G367" s="0" t="n">
        <v>0</v>
      </c>
      <c r="H367" s="0" t="n">
        <v>0</v>
      </c>
      <c r="I367" s="0" t="n">
        <v>-0.1</v>
      </c>
      <c r="J367" s="0" t="n">
        <v>277</v>
      </c>
      <c r="K367" s="0" t="n">
        <v>-35.3631662</v>
      </c>
      <c r="L367" s="0" t="n">
        <v>149.1644046</v>
      </c>
      <c r="M367" s="0" t="n">
        <v>252.4</v>
      </c>
      <c r="N367" s="3" t="n">
        <f aca="false">(A367-$A$2)*86400</f>
        <v>378.95199994</v>
      </c>
      <c r="O367" s="3" t="n">
        <f aca="false">D367*0.3048</f>
        <v>44.98848</v>
      </c>
      <c r="P367" s="3" t="n">
        <f aca="false">E367*0.44704</f>
        <v>3.978656</v>
      </c>
      <c r="Q367" s="3" t="n">
        <f aca="false">F367*0.44704</f>
        <v>3.978656</v>
      </c>
    </row>
    <row r="368" customFormat="false" ht="15" hidden="false" customHeight="false" outlineLevel="0" collapsed="false">
      <c r="A368" s="8" t="n">
        <v>46315.8957623264</v>
      </c>
      <c r="B368" s="3" t="s">
        <v>401</v>
      </c>
      <c r="C368" s="0" t="n">
        <v>2</v>
      </c>
      <c r="D368" s="0" t="n">
        <v>147.6</v>
      </c>
      <c r="E368" s="0" t="n">
        <v>8.9</v>
      </c>
      <c r="F368" s="0" t="n">
        <v>8.9</v>
      </c>
      <c r="G368" s="0" t="n">
        <v>0</v>
      </c>
      <c r="H368" s="0" t="n">
        <v>0</v>
      </c>
      <c r="I368" s="0" t="n">
        <v>-0.1</v>
      </c>
      <c r="J368" s="0" t="n">
        <v>277</v>
      </c>
      <c r="K368" s="0" t="n">
        <v>-35.3631652</v>
      </c>
      <c r="L368" s="0" t="n">
        <v>149.1643959</v>
      </c>
      <c r="M368" s="0" t="n">
        <v>255.7</v>
      </c>
      <c r="N368" s="3" t="n">
        <f aca="false">(A368-$A$2)*86400</f>
        <v>379.963000165</v>
      </c>
      <c r="O368" s="3" t="n">
        <f aca="false">D368*0.3048</f>
        <v>44.98848</v>
      </c>
      <c r="P368" s="3" t="n">
        <f aca="false">E368*0.44704</f>
        <v>3.978656</v>
      </c>
      <c r="Q368" s="3" t="n">
        <f aca="false">F368*0.44704</f>
        <v>3.978656</v>
      </c>
    </row>
    <row r="369" customFormat="false" ht="15" hidden="false" customHeight="false" outlineLevel="0" collapsed="false">
      <c r="A369" s="8" t="n">
        <v>46315.8957736111</v>
      </c>
      <c r="B369" s="3" t="s">
        <v>402</v>
      </c>
      <c r="C369" s="0" t="n">
        <v>2</v>
      </c>
      <c r="D369" s="0" t="n">
        <v>147.6</v>
      </c>
      <c r="E369" s="0" t="n">
        <v>8.9</v>
      </c>
      <c r="F369" s="0" t="n">
        <v>9</v>
      </c>
      <c r="G369" s="0" t="n">
        <v>0</v>
      </c>
      <c r="H369" s="0" t="n">
        <v>0</v>
      </c>
      <c r="I369" s="0" t="n">
        <v>-0.1</v>
      </c>
      <c r="J369" s="0" t="n">
        <v>277</v>
      </c>
      <c r="K369" s="0" t="n">
        <v>-35.3631642</v>
      </c>
      <c r="L369" s="0" t="n">
        <v>149.1643872</v>
      </c>
      <c r="M369" s="0" t="n">
        <v>258.9</v>
      </c>
      <c r="N369" s="3" t="n">
        <f aca="false">(A369-$A$2)*86400</f>
        <v>380.937999906</v>
      </c>
      <c r="O369" s="3" t="n">
        <f aca="false">D369*0.3048</f>
        <v>44.98848</v>
      </c>
      <c r="P369" s="3" t="n">
        <f aca="false">E369*0.44704</f>
        <v>3.978656</v>
      </c>
      <c r="Q369" s="3" t="n">
        <f aca="false">F369*0.44704</f>
        <v>4.02336</v>
      </c>
    </row>
    <row r="370" customFormat="false" ht="15" hidden="false" customHeight="false" outlineLevel="0" collapsed="false">
      <c r="A370" s="8" t="n">
        <v>46315.8957855787</v>
      </c>
      <c r="B370" s="3" t="s">
        <v>403</v>
      </c>
      <c r="C370" s="0" t="n">
        <v>2</v>
      </c>
      <c r="D370" s="0" t="n">
        <v>147.6</v>
      </c>
      <c r="E370" s="0" t="n">
        <v>8.9</v>
      </c>
      <c r="F370" s="0" t="n">
        <v>9</v>
      </c>
      <c r="G370" s="0" t="n">
        <v>0</v>
      </c>
      <c r="H370" s="0" t="n">
        <v>0</v>
      </c>
      <c r="I370" s="0" t="n">
        <v>-0.1</v>
      </c>
      <c r="J370" s="0" t="n">
        <v>277</v>
      </c>
      <c r="K370" s="0" t="n">
        <v>-35.3631622</v>
      </c>
      <c r="L370" s="0" t="n">
        <v>149.1643697</v>
      </c>
      <c r="M370" s="0" t="n">
        <v>262.2</v>
      </c>
      <c r="N370" s="3" t="n">
        <f aca="false">(A370-$A$2)*86400</f>
        <v>381.971999653</v>
      </c>
      <c r="O370" s="3" t="n">
        <f aca="false">D370*0.3048</f>
        <v>44.98848</v>
      </c>
      <c r="P370" s="3" t="n">
        <f aca="false">E370*0.44704</f>
        <v>3.978656</v>
      </c>
      <c r="Q370" s="3" t="n">
        <f aca="false">F370*0.44704</f>
        <v>4.02336</v>
      </c>
    </row>
    <row r="371" customFormat="false" ht="15" hidden="false" customHeight="false" outlineLevel="0" collapsed="false">
      <c r="A371" s="8" t="n">
        <v>46315.8957975926</v>
      </c>
      <c r="B371" s="3" t="s">
        <v>404</v>
      </c>
      <c r="C371" s="0" t="n">
        <v>2</v>
      </c>
      <c r="D371" s="0" t="n">
        <v>147.6</v>
      </c>
      <c r="E371" s="0" t="n">
        <v>8.9</v>
      </c>
      <c r="F371" s="0" t="n">
        <v>9</v>
      </c>
      <c r="G371" s="0" t="n">
        <v>0</v>
      </c>
      <c r="H371" s="0" t="n">
        <v>0</v>
      </c>
      <c r="I371" s="0" t="n">
        <v>-0.1</v>
      </c>
      <c r="J371" s="0" t="n">
        <v>277</v>
      </c>
      <c r="K371" s="0" t="n">
        <v>-35.3631612</v>
      </c>
      <c r="L371" s="0" t="n">
        <v>149.164361</v>
      </c>
      <c r="M371" s="0" t="n">
        <v>265.5</v>
      </c>
      <c r="N371" s="3" t="n">
        <f aca="false">(A371-$A$2)*86400</f>
        <v>383.010000712</v>
      </c>
      <c r="O371" s="3" t="n">
        <f aca="false">D371*0.3048</f>
        <v>44.98848</v>
      </c>
      <c r="P371" s="3" t="n">
        <f aca="false">E371*0.44704</f>
        <v>3.978656</v>
      </c>
      <c r="Q371" s="3" t="n">
        <f aca="false">F371*0.44704</f>
        <v>4.02336</v>
      </c>
    </row>
    <row r="372" customFormat="false" ht="15" hidden="false" customHeight="false" outlineLevel="0" collapsed="false">
      <c r="A372" s="8" t="n">
        <v>46315.8958084375</v>
      </c>
      <c r="B372" s="3" t="s">
        <v>405</v>
      </c>
      <c r="C372" s="0" t="n">
        <v>2</v>
      </c>
      <c r="D372" s="0" t="n">
        <v>147.6</v>
      </c>
      <c r="E372" s="0" t="n">
        <v>8.9</v>
      </c>
      <c r="F372" s="0" t="n">
        <v>8.9</v>
      </c>
      <c r="G372" s="0" t="n">
        <v>0</v>
      </c>
      <c r="H372" s="0" t="n">
        <v>0</v>
      </c>
      <c r="I372" s="0" t="n">
        <v>-0.1</v>
      </c>
      <c r="J372" s="0" t="n">
        <v>277</v>
      </c>
      <c r="K372" s="0" t="n">
        <v>-35.3631601</v>
      </c>
      <c r="L372" s="0" t="n">
        <v>149.1643523</v>
      </c>
      <c r="M372" s="0" t="n">
        <v>268.8</v>
      </c>
      <c r="N372" s="3" t="n">
        <f aca="false">(A372-$A$2)*86400</f>
        <v>383.946999628</v>
      </c>
      <c r="O372" s="3" t="n">
        <f aca="false">D372*0.3048</f>
        <v>44.98848</v>
      </c>
      <c r="P372" s="3" t="n">
        <f aca="false">E372*0.44704</f>
        <v>3.978656</v>
      </c>
      <c r="Q372" s="3" t="n">
        <f aca="false">F372*0.44704</f>
        <v>3.978656</v>
      </c>
    </row>
    <row r="373" customFormat="false" ht="15" hidden="false" customHeight="false" outlineLevel="0" collapsed="false">
      <c r="A373" s="8" t="n">
        <v>46315.8958202778</v>
      </c>
      <c r="B373" s="3" t="s">
        <v>405</v>
      </c>
      <c r="C373" s="0" t="n">
        <v>2</v>
      </c>
      <c r="D373" s="0" t="n">
        <v>147.6</v>
      </c>
      <c r="E373" s="0" t="n">
        <v>8.9</v>
      </c>
      <c r="F373" s="0" t="n">
        <v>8.9</v>
      </c>
      <c r="G373" s="0" t="n">
        <v>0</v>
      </c>
      <c r="H373" s="0" t="n">
        <v>0</v>
      </c>
      <c r="I373" s="0" t="n">
        <v>-0.1</v>
      </c>
      <c r="J373" s="0" t="n">
        <v>277</v>
      </c>
      <c r="K373" s="0" t="n">
        <v>-35.3631601</v>
      </c>
      <c r="L373" s="0" t="n">
        <v>149.1643523</v>
      </c>
      <c r="M373" s="0" t="n">
        <v>268.8</v>
      </c>
      <c r="N373" s="3" t="n">
        <f aca="false">(A373-$A$2)*86400</f>
        <v>384.970000013</v>
      </c>
      <c r="O373" s="3" t="n">
        <f aca="false">D373*0.3048</f>
        <v>44.98848</v>
      </c>
      <c r="P373" s="3" t="n">
        <f aca="false">E373*0.44704</f>
        <v>3.978656</v>
      </c>
      <c r="Q373" s="3" t="n">
        <f aca="false">F373*0.44704</f>
        <v>3.978656</v>
      </c>
    </row>
    <row r="374" customFormat="false" ht="15" hidden="false" customHeight="false" outlineLevel="0" collapsed="false">
      <c r="A374" s="8" t="n">
        <v>46315.8958316088</v>
      </c>
      <c r="B374" s="3" t="s">
        <v>406</v>
      </c>
      <c r="C374" s="0" t="n">
        <v>2</v>
      </c>
      <c r="D374" s="0" t="n">
        <v>147.6</v>
      </c>
      <c r="E374" s="0" t="n">
        <v>8.9</v>
      </c>
      <c r="F374" s="0" t="n">
        <v>8.9</v>
      </c>
      <c r="G374" s="0" t="n">
        <v>0</v>
      </c>
      <c r="H374" s="0" t="n">
        <v>0</v>
      </c>
      <c r="I374" s="0" t="n">
        <v>-0.1</v>
      </c>
      <c r="J374" s="0" t="n">
        <v>277</v>
      </c>
      <c r="K374" s="0" t="n">
        <v>-35.3631592</v>
      </c>
      <c r="L374" s="0" t="n">
        <v>149.1643436</v>
      </c>
      <c r="M374" s="0" t="n">
        <v>272.1</v>
      </c>
      <c r="N374" s="3" t="n">
        <f aca="false">(A374-$A$2)*86400</f>
        <v>385.949000436</v>
      </c>
      <c r="O374" s="3" t="n">
        <f aca="false">D374*0.3048</f>
        <v>44.98848</v>
      </c>
      <c r="P374" s="3" t="n">
        <f aca="false">E374*0.44704</f>
        <v>3.978656</v>
      </c>
      <c r="Q374" s="3" t="n">
        <f aca="false">F374*0.44704</f>
        <v>3.978656</v>
      </c>
    </row>
    <row r="375" customFormat="false" ht="15" hidden="false" customHeight="false" outlineLevel="0" collapsed="false">
      <c r="A375" s="8" t="n">
        <v>46315.8958433333</v>
      </c>
      <c r="B375" s="3" t="s">
        <v>407</v>
      </c>
      <c r="C375" s="0" t="n">
        <v>2</v>
      </c>
      <c r="D375" s="0" t="n">
        <v>147.6</v>
      </c>
      <c r="E375" s="0" t="n">
        <v>8.9</v>
      </c>
      <c r="F375" s="0" t="n">
        <v>8.9</v>
      </c>
      <c r="G375" s="0" t="n">
        <v>0</v>
      </c>
      <c r="H375" s="0" t="n">
        <v>0</v>
      </c>
      <c r="I375" s="0" t="n">
        <v>-0.1</v>
      </c>
      <c r="J375" s="0" t="n">
        <v>277</v>
      </c>
      <c r="K375" s="0" t="n">
        <v>-35.3631571</v>
      </c>
      <c r="L375" s="0" t="n">
        <v>149.1643261</v>
      </c>
      <c r="M375" s="0" t="n">
        <v>275.3</v>
      </c>
      <c r="N375" s="3" t="n">
        <f aca="false">(A375-$A$2)*86400</f>
        <v>386.961999745</v>
      </c>
      <c r="O375" s="3" t="n">
        <f aca="false">D375*0.3048</f>
        <v>44.98848</v>
      </c>
      <c r="P375" s="3" t="n">
        <f aca="false">E375*0.44704</f>
        <v>3.978656</v>
      </c>
      <c r="Q375" s="3" t="n">
        <f aca="false">F375*0.44704</f>
        <v>3.978656</v>
      </c>
    </row>
    <row r="376" customFormat="false" ht="15" hidden="false" customHeight="false" outlineLevel="0" collapsed="false">
      <c r="A376" s="8" t="n">
        <v>46315.8958549769</v>
      </c>
      <c r="B376" s="3" t="s">
        <v>408</v>
      </c>
      <c r="C376" s="0" t="n">
        <v>2</v>
      </c>
      <c r="D376" s="0" t="n">
        <v>147.6</v>
      </c>
      <c r="E376" s="0" t="n">
        <v>8.9</v>
      </c>
      <c r="F376" s="0" t="n">
        <v>8.9</v>
      </c>
      <c r="G376" s="0" t="n">
        <v>0</v>
      </c>
      <c r="H376" s="0" t="n">
        <v>0</v>
      </c>
      <c r="I376" s="0" t="n">
        <v>-0.1</v>
      </c>
      <c r="J376" s="0" t="n">
        <v>277</v>
      </c>
      <c r="K376" s="0" t="n">
        <v>-35.3631562</v>
      </c>
      <c r="L376" s="0" t="n">
        <v>149.1643174</v>
      </c>
      <c r="M376" s="0" t="n">
        <v>278.6</v>
      </c>
      <c r="N376" s="3" t="n">
        <f aca="false">(A376-$A$2)*86400</f>
        <v>387.967999745</v>
      </c>
      <c r="O376" s="3" t="n">
        <f aca="false">D376*0.3048</f>
        <v>44.98848</v>
      </c>
      <c r="P376" s="3" t="n">
        <f aca="false">E376*0.44704</f>
        <v>3.978656</v>
      </c>
      <c r="Q376" s="3" t="n">
        <f aca="false">F376*0.44704</f>
        <v>3.978656</v>
      </c>
    </row>
    <row r="377" customFormat="false" ht="15" hidden="false" customHeight="false" outlineLevel="0" collapsed="false">
      <c r="A377" s="8" t="n">
        <v>46315.8958664005</v>
      </c>
      <c r="B377" s="3" t="s">
        <v>409</v>
      </c>
      <c r="C377" s="0" t="n">
        <v>2</v>
      </c>
      <c r="D377" s="0" t="n">
        <v>147.6</v>
      </c>
      <c r="E377" s="0" t="n">
        <v>8.9</v>
      </c>
      <c r="F377" s="0" t="n">
        <v>8.9</v>
      </c>
      <c r="G377" s="0" t="n">
        <v>0</v>
      </c>
      <c r="H377" s="0" t="n">
        <v>0</v>
      </c>
      <c r="I377" s="0" t="n">
        <v>-0.2</v>
      </c>
      <c r="J377" s="0" t="n">
        <v>277</v>
      </c>
      <c r="K377" s="0" t="n">
        <v>-35.3631551</v>
      </c>
      <c r="L377" s="0" t="n">
        <v>149.1643087</v>
      </c>
      <c r="M377" s="0" t="n">
        <v>281.9</v>
      </c>
      <c r="N377" s="3" t="n">
        <f aca="false">(A377-$A$2)*86400</f>
        <v>388.954999647</v>
      </c>
      <c r="O377" s="3" t="n">
        <f aca="false">D377*0.3048</f>
        <v>44.98848</v>
      </c>
      <c r="P377" s="3" t="n">
        <f aca="false">E377*0.44704</f>
        <v>3.978656</v>
      </c>
      <c r="Q377" s="3" t="n">
        <f aca="false">F377*0.44704</f>
        <v>3.978656</v>
      </c>
    </row>
    <row r="378" customFormat="false" ht="15" hidden="false" customHeight="false" outlineLevel="0" collapsed="false">
      <c r="A378" s="8" t="n">
        <v>46315.8958785648</v>
      </c>
      <c r="B378" s="3" t="s">
        <v>410</v>
      </c>
      <c r="C378" s="0" t="n">
        <v>2</v>
      </c>
      <c r="D378" s="0" t="n">
        <v>147.6</v>
      </c>
      <c r="E378" s="0" t="n">
        <v>8.9</v>
      </c>
      <c r="F378" s="0" t="n">
        <v>8.9</v>
      </c>
      <c r="G378" s="0" t="n">
        <v>0</v>
      </c>
      <c r="H378" s="0" t="n">
        <v>0</v>
      </c>
      <c r="I378" s="0" t="n">
        <v>-0.1</v>
      </c>
      <c r="J378" s="0" t="n">
        <v>277</v>
      </c>
      <c r="K378" s="0" t="n">
        <v>-35.3631541</v>
      </c>
      <c r="L378" s="0" t="n">
        <v>149.1642999</v>
      </c>
      <c r="M378" s="0" t="n">
        <v>285.2</v>
      </c>
      <c r="N378" s="3" t="n">
        <f aca="false">(A378-$A$2)*86400</f>
        <v>390.005999151</v>
      </c>
      <c r="O378" s="3" t="n">
        <f aca="false">D378*0.3048</f>
        <v>44.98848</v>
      </c>
      <c r="P378" s="3" t="n">
        <f aca="false">E378*0.44704</f>
        <v>3.978656</v>
      </c>
      <c r="Q378" s="3" t="n">
        <f aca="false">F378*0.44704</f>
        <v>3.978656</v>
      </c>
    </row>
    <row r="379" customFormat="false" ht="15" hidden="false" customHeight="false" outlineLevel="0" collapsed="false">
      <c r="A379" s="8" t="n">
        <v>46315.8958896528</v>
      </c>
      <c r="B379" s="3" t="s">
        <v>410</v>
      </c>
      <c r="C379" s="0" t="n">
        <v>2</v>
      </c>
      <c r="D379" s="0" t="n">
        <v>147.6</v>
      </c>
      <c r="E379" s="0" t="n">
        <v>8.9</v>
      </c>
      <c r="F379" s="0" t="n">
        <v>9</v>
      </c>
      <c r="G379" s="0" t="n">
        <v>0</v>
      </c>
      <c r="H379" s="0" t="n">
        <v>0</v>
      </c>
      <c r="I379" s="0" t="n">
        <v>-0.1</v>
      </c>
      <c r="J379" s="0" t="n">
        <v>277</v>
      </c>
      <c r="K379" s="0" t="n">
        <v>-35.3631541</v>
      </c>
      <c r="L379" s="0" t="n">
        <v>149.1642999</v>
      </c>
      <c r="M379" s="0" t="n">
        <v>288.4</v>
      </c>
      <c r="N379" s="3" t="n">
        <f aca="false">(A379-$A$2)*86400</f>
        <v>390.963999764</v>
      </c>
      <c r="O379" s="3" t="n">
        <f aca="false">D379*0.3048</f>
        <v>44.98848</v>
      </c>
      <c r="P379" s="3" t="n">
        <f aca="false">E379*0.44704</f>
        <v>3.978656</v>
      </c>
      <c r="Q379" s="3" t="n">
        <f aca="false">F379*0.44704</f>
        <v>4.02336</v>
      </c>
    </row>
    <row r="380" customFormat="false" ht="15" hidden="false" customHeight="false" outlineLevel="0" collapsed="false">
      <c r="A380" s="8" t="n">
        <v>46315.8959015162</v>
      </c>
      <c r="B380" s="3" t="s">
        <v>411</v>
      </c>
      <c r="C380" s="0" t="n">
        <v>2</v>
      </c>
      <c r="D380" s="0" t="n">
        <v>147.6</v>
      </c>
      <c r="E380" s="0" t="n">
        <v>8.9</v>
      </c>
      <c r="F380" s="0" t="n">
        <v>9</v>
      </c>
      <c r="G380" s="0" t="n">
        <v>0</v>
      </c>
      <c r="H380" s="0" t="n">
        <v>0</v>
      </c>
      <c r="I380" s="0" t="n">
        <v>-0.1</v>
      </c>
      <c r="J380" s="0" t="n">
        <v>277</v>
      </c>
      <c r="K380" s="0" t="n">
        <v>-35.3631522</v>
      </c>
      <c r="L380" s="0" t="n">
        <v>149.1642824</v>
      </c>
      <c r="M380" s="0" t="n">
        <v>288.4</v>
      </c>
      <c r="N380" s="3" t="n">
        <f aca="false">(A380-$A$2)*86400</f>
        <v>391.988999862</v>
      </c>
      <c r="O380" s="3" t="n">
        <f aca="false">D380*0.3048</f>
        <v>44.98848</v>
      </c>
      <c r="P380" s="3" t="n">
        <f aca="false">E380*0.44704</f>
        <v>3.978656</v>
      </c>
      <c r="Q380" s="3" t="n">
        <f aca="false">F380*0.44704</f>
        <v>4.02336</v>
      </c>
    </row>
    <row r="381" customFormat="false" ht="15" hidden="false" customHeight="false" outlineLevel="0" collapsed="false">
      <c r="A381" s="8" t="n">
        <v>46315.895912419</v>
      </c>
      <c r="B381" s="3" t="s">
        <v>412</v>
      </c>
      <c r="C381" s="0" t="n">
        <v>2</v>
      </c>
      <c r="D381" s="0" t="n">
        <v>147.6</v>
      </c>
      <c r="E381" s="0" t="n">
        <v>8.9</v>
      </c>
      <c r="F381" s="0" t="n">
        <v>9</v>
      </c>
      <c r="G381" s="0" t="n">
        <v>0</v>
      </c>
      <c r="H381" s="0" t="n">
        <v>0</v>
      </c>
      <c r="I381" s="0" t="n">
        <v>-0.1</v>
      </c>
      <c r="J381" s="0" t="n">
        <v>277</v>
      </c>
      <c r="K381" s="0" t="n">
        <v>-35.3631512</v>
      </c>
      <c r="L381" s="0" t="n">
        <v>149.1642737</v>
      </c>
      <c r="M381" s="0" t="n">
        <v>291.7</v>
      </c>
      <c r="N381" s="3" t="n">
        <f aca="false">(A381-$A$2)*86400</f>
        <v>392.930999631</v>
      </c>
      <c r="O381" s="3" t="n">
        <f aca="false">D381*0.3048</f>
        <v>44.98848</v>
      </c>
      <c r="P381" s="3" t="n">
        <f aca="false">E381*0.44704</f>
        <v>3.978656</v>
      </c>
      <c r="Q381" s="3" t="n">
        <f aca="false">F381*0.44704</f>
        <v>4.02336</v>
      </c>
    </row>
    <row r="382" customFormat="false" ht="15" hidden="false" customHeight="false" outlineLevel="0" collapsed="false">
      <c r="A382" s="8" t="n">
        <v>46315.8959239468</v>
      </c>
      <c r="B382" s="3" t="s">
        <v>413</v>
      </c>
      <c r="C382" s="0" t="n">
        <v>2</v>
      </c>
      <c r="D382" s="0" t="n">
        <v>147.6</v>
      </c>
      <c r="E382" s="0" t="n">
        <v>8.9</v>
      </c>
      <c r="F382" s="0" t="n">
        <v>8.9</v>
      </c>
      <c r="G382" s="0" t="n">
        <v>0</v>
      </c>
      <c r="H382" s="0" t="n">
        <v>0</v>
      </c>
      <c r="I382" s="0" t="n">
        <v>-0.1</v>
      </c>
      <c r="J382" s="0" t="n">
        <v>277</v>
      </c>
      <c r="K382" s="0" t="n">
        <v>-35.3631502</v>
      </c>
      <c r="L382" s="0" t="n">
        <v>149.164265</v>
      </c>
      <c r="M382" s="0" t="n">
        <v>295</v>
      </c>
      <c r="N382" s="3" t="n">
        <f aca="false">(A382-$A$2)*86400</f>
        <v>393.926999811</v>
      </c>
      <c r="O382" s="3" t="n">
        <f aca="false">D382*0.3048</f>
        <v>44.98848</v>
      </c>
      <c r="P382" s="3" t="n">
        <f aca="false">E382*0.44704</f>
        <v>3.978656</v>
      </c>
      <c r="Q382" s="3" t="n">
        <f aca="false">F382*0.44704</f>
        <v>3.978656</v>
      </c>
    </row>
    <row r="383" customFormat="false" ht="15" hidden="false" customHeight="false" outlineLevel="0" collapsed="false">
      <c r="A383" s="8" t="n">
        <v>46315.8959358912</v>
      </c>
      <c r="B383" s="3" t="s">
        <v>414</v>
      </c>
      <c r="C383" s="0" t="n">
        <v>2</v>
      </c>
      <c r="D383" s="0" t="n">
        <v>147.6</v>
      </c>
      <c r="E383" s="0" t="n">
        <v>8.9</v>
      </c>
      <c r="F383" s="0" t="n">
        <v>8.9</v>
      </c>
      <c r="G383" s="0" t="n">
        <v>0</v>
      </c>
      <c r="H383" s="0" t="n">
        <v>0</v>
      </c>
      <c r="I383" s="0" t="n">
        <v>-0.1</v>
      </c>
      <c r="J383" s="0" t="n">
        <v>277</v>
      </c>
      <c r="K383" s="0" t="n">
        <v>-35.3631491</v>
      </c>
      <c r="L383" s="0" t="n">
        <v>149.1642563</v>
      </c>
      <c r="M383" s="0" t="n">
        <v>298.3</v>
      </c>
      <c r="N383" s="3" t="n">
        <f aca="false">(A383-$A$2)*86400</f>
        <v>394.958999846</v>
      </c>
      <c r="O383" s="3" t="n">
        <f aca="false">D383*0.3048</f>
        <v>44.98848</v>
      </c>
      <c r="P383" s="3" t="n">
        <f aca="false">E383*0.44704</f>
        <v>3.978656</v>
      </c>
      <c r="Q383" s="3" t="n">
        <f aca="false">F383*0.44704</f>
        <v>3.978656</v>
      </c>
    </row>
    <row r="384" customFormat="false" ht="15" hidden="false" customHeight="false" outlineLevel="0" collapsed="false">
      <c r="A384" s="8" t="n">
        <v>46315.8959477199</v>
      </c>
      <c r="B384" s="3" t="s">
        <v>415</v>
      </c>
      <c r="C384" s="0" t="n">
        <v>2</v>
      </c>
      <c r="D384" s="0" t="n">
        <v>147.6</v>
      </c>
      <c r="E384" s="0" t="n">
        <v>8.9</v>
      </c>
      <c r="F384" s="0" t="n">
        <v>8.9</v>
      </c>
      <c r="G384" s="0" t="n">
        <v>0</v>
      </c>
      <c r="H384" s="0" t="n">
        <v>0</v>
      </c>
      <c r="I384" s="0" t="n">
        <v>-0.1</v>
      </c>
      <c r="J384" s="0" t="n">
        <v>277</v>
      </c>
      <c r="K384" s="0" t="n">
        <v>-35.3631472</v>
      </c>
      <c r="L384" s="0" t="n">
        <v>149.1642388</v>
      </c>
      <c r="M384" s="0" t="n">
        <v>301.5</v>
      </c>
      <c r="N384" s="3" t="n">
        <f aca="false">(A384-$A$2)*86400</f>
        <v>395.981000061</v>
      </c>
      <c r="O384" s="3" t="n">
        <f aca="false">D384*0.3048</f>
        <v>44.98848</v>
      </c>
      <c r="P384" s="3" t="n">
        <f aca="false">E384*0.44704</f>
        <v>3.978656</v>
      </c>
      <c r="Q384" s="3" t="n">
        <f aca="false">F384*0.44704</f>
        <v>3.978656</v>
      </c>
    </row>
    <row r="385" customFormat="false" ht="15" hidden="false" customHeight="false" outlineLevel="0" collapsed="false">
      <c r="A385" s="8" t="n">
        <v>46315.8959591319</v>
      </c>
      <c r="B385" s="3" t="s">
        <v>416</v>
      </c>
      <c r="C385" s="0" t="n">
        <v>2</v>
      </c>
      <c r="D385" s="0" t="n">
        <v>147.6</v>
      </c>
      <c r="E385" s="0" t="n">
        <v>8.9</v>
      </c>
      <c r="F385" s="0" t="n">
        <v>8.9</v>
      </c>
      <c r="G385" s="0" t="n">
        <v>0</v>
      </c>
      <c r="H385" s="0" t="n">
        <v>0</v>
      </c>
      <c r="I385" s="0" t="n">
        <v>-0.1</v>
      </c>
      <c r="J385" s="0" t="n">
        <v>277</v>
      </c>
      <c r="K385" s="0" t="n">
        <v>-35.3631462</v>
      </c>
      <c r="L385" s="0" t="n">
        <v>149.1642301</v>
      </c>
      <c r="M385" s="0" t="n">
        <v>304.8</v>
      </c>
      <c r="N385" s="3" t="n">
        <f aca="false">(A385-$A$2)*86400</f>
        <v>396.966999792</v>
      </c>
      <c r="O385" s="3" t="n">
        <f aca="false">D385*0.3048</f>
        <v>44.98848</v>
      </c>
      <c r="P385" s="3" t="n">
        <f aca="false">E385*0.44704</f>
        <v>3.978656</v>
      </c>
      <c r="Q385" s="3" t="n">
        <f aca="false">F385*0.44704</f>
        <v>3.978656</v>
      </c>
    </row>
    <row r="386" customFormat="false" ht="15" hidden="false" customHeight="false" outlineLevel="0" collapsed="false">
      <c r="A386" s="8" t="n">
        <v>46315.8959705671</v>
      </c>
      <c r="B386" s="3" t="s">
        <v>417</v>
      </c>
      <c r="C386" s="0" t="n">
        <v>2</v>
      </c>
      <c r="D386" s="0" t="n">
        <v>147.6</v>
      </c>
      <c r="E386" s="0" t="n">
        <v>8.9</v>
      </c>
      <c r="F386" s="0" t="n">
        <v>8.9</v>
      </c>
      <c r="G386" s="0" t="n">
        <v>0</v>
      </c>
      <c r="H386" s="0" t="n">
        <v>0</v>
      </c>
      <c r="I386" s="0" t="n">
        <v>-0.1</v>
      </c>
      <c r="J386" s="0" t="n">
        <v>277</v>
      </c>
      <c r="K386" s="0" t="n">
        <v>-35.3631451</v>
      </c>
      <c r="L386" s="0" t="n">
        <v>149.1642213</v>
      </c>
      <c r="M386" s="0" t="n">
        <v>308.1</v>
      </c>
      <c r="N386" s="3" t="n">
        <f aca="false">(A386-$A$2)*86400</f>
        <v>397.954999865</v>
      </c>
      <c r="O386" s="3" t="n">
        <f aca="false">D386*0.3048</f>
        <v>44.98848</v>
      </c>
      <c r="P386" s="3" t="n">
        <f aca="false">E386*0.44704</f>
        <v>3.978656</v>
      </c>
      <c r="Q386" s="3" t="n">
        <f aca="false">F386*0.44704</f>
        <v>3.978656</v>
      </c>
    </row>
    <row r="387" customFormat="false" ht="15" hidden="false" customHeight="false" outlineLevel="0" collapsed="false">
      <c r="A387" s="8" t="n">
        <v>46315.8959818634</v>
      </c>
      <c r="B387" s="3" t="s">
        <v>418</v>
      </c>
      <c r="C387" s="0" t="n">
        <v>2</v>
      </c>
      <c r="D387" s="0" t="n">
        <v>147.6</v>
      </c>
      <c r="E387" s="0" t="n">
        <v>8.9</v>
      </c>
      <c r="F387" s="0" t="n">
        <v>8.9</v>
      </c>
      <c r="G387" s="0" t="n">
        <v>0</v>
      </c>
      <c r="H387" s="0" t="n">
        <v>0</v>
      </c>
      <c r="I387" s="0" t="n">
        <v>-0.1</v>
      </c>
      <c r="J387" s="0" t="n">
        <v>277</v>
      </c>
      <c r="K387" s="0" t="n">
        <v>-35.3631441</v>
      </c>
      <c r="L387" s="0" t="n">
        <v>149.1642126</v>
      </c>
      <c r="M387" s="0" t="n">
        <v>311.4</v>
      </c>
      <c r="N387" s="3" t="n">
        <f aca="false">(A387-$A$2)*86400</f>
        <v>398.930999147</v>
      </c>
      <c r="O387" s="3" t="n">
        <f aca="false">D387*0.3048</f>
        <v>44.98848</v>
      </c>
      <c r="P387" s="3" t="n">
        <f aca="false">E387*0.44704</f>
        <v>3.978656</v>
      </c>
      <c r="Q387" s="3" t="n">
        <f aca="false">F387*0.44704</f>
        <v>3.978656</v>
      </c>
    </row>
    <row r="388" customFormat="false" ht="15" hidden="false" customHeight="false" outlineLevel="0" collapsed="false">
      <c r="A388" s="8" t="n">
        <v>46315.8959944213</v>
      </c>
      <c r="B388" s="3" t="s">
        <v>419</v>
      </c>
      <c r="C388" s="0" t="n">
        <v>2</v>
      </c>
      <c r="D388" s="0" t="n">
        <v>147.6</v>
      </c>
      <c r="E388" s="0" t="n">
        <v>8.9</v>
      </c>
      <c r="F388" s="0" t="n">
        <v>8.9</v>
      </c>
      <c r="G388" s="0" t="n">
        <v>0</v>
      </c>
      <c r="H388" s="0" t="n">
        <v>0</v>
      </c>
      <c r="I388" s="0" t="n">
        <v>-0.1</v>
      </c>
      <c r="J388" s="0" t="n">
        <v>277</v>
      </c>
      <c r="K388" s="0" t="n">
        <v>-35.3631421</v>
      </c>
      <c r="L388" s="0" t="n">
        <v>149.1641952</v>
      </c>
      <c r="M388" s="0" t="n">
        <v>314.7</v>
      </c>
      <c r="N388" s="3" t="n">
        <f aca="false">(A388-$A$2)*86400</f>
        <v>400.016000051</v>
      </c>
      <c r="O388" s="3" t="n">
        <f aca="false">D388*0.3048</f>
        <v>44.98848</v>
      </c>
      <c r="P388" s="3" t="n">
        <f aca="false">E388*0.44704</f>
        <v>3.978656</v>
      </c>
      <c r="Q388" s="3" t="n">
        <f aca="false">F388*0.44704</f>
        <v>3.978656</v>
      </c>
    </row>
    <row r="389" customFormat="false" ht="15" hidden="false" customHeight="false" outlineLevel="0" collapsed="false">
      <c r="A389" s="8" t="n">
        <v>46315.8960058218</v>
      </c>
      <c r="B389" s="3" t="s">
        <v>420</v>
      </c>
      <c r="C389" s="0" t="n">
        <v>2</v>
      </c>
      <c r="D389" s="0" t="n">
        <v>147.6</v>
      </c>
      <c r="E389" s="0" t="n">
        <v>8.9</v>
      </c>
      <c r="F389" s="0" t="n">
        <v>8.9</v>
      </c>
      <c r="G389" s="0" t="n">
        <v>0</v>
      </c>
      <c r="H389" s="0" t="n">
        <v>0</v>
      </c>
      <c r="I389" s="0" t="n">
        <v>-0.1</v>
      </c>
      <c r="J389" s="0" t="n">
        <v>277</v>
      </c>
      <c r="K389" s="0" t="n">
        <v>-35.3631421</v>
      </c>
      <c r="L389" s="0" t="n">
        <v>149.1641952</v>
      </c>
      <c r="M389" s="0" t="n">
        <v>314.7</v>
      </c>
      <c r="N389" s="3" t="n">
        <f aca="false">(A389-$A$2)*86400</f>
        <v>401.001000241</v>
      </c>
      <c r="O389" s="3" t="n">
        <f aca="false">D389*0.3048</f>
        <v>44.98848</v>
      </c>
      <c r="P389" s="3" t="n">
        <f aca="false">E389*0.44704</f>
        <v>3.978656</v>
      </c>
      <c r="Q389" s="3" t="n">
        <f aca="false">F389*0.44704</f>
        <v>3.978656</v>
      </c>
    </row>
    <row r="390" customFormat="false" ht="15" hidden="false" customHeight="false" outlineLevel="0" collapsed="false">
      <c r="A390" s="8" t="n">
        <v>46315.8960168982</v>
      </c>
      <c r="B390" s="3" t="s">
        <v>421</v>
      </c>
      <c r="C390" s="0" t="n">
        <v>2</v>
      </c>
      <c r="D390" s="0" t="n">
        <v>147.6</v>
      </c>
      <c r="E390" s="0" t="n">
        <v>8.9</v>
      </c>
      <c r="F390" s="0" t="n">
        <v>9</v>
      </c>
      <c r="G390" s="0" t="n">
        <v>0</v>
      </c>
      <c r="H390" s="0" t="n">
        <v>0</v>
      </c>
      <c r="I390" s="0" t="n">
        <v>-0.1</v>
      </c>
      <c r="J390" s="0" t="n">
        <v>277</v>
      </c>
      <c r="K390" s="0" t="n">
        <v>-35.3631411</v>
      </c>
      <c r="L390" s="0" t="n">
        <v>149.1641865</v>
      </c>
      <c r="M390" s="0" t="n">
        <v>317.9</v>
      </c>
      <c r="N390" s="3" t="n">
        <f aca="false">(A390-$A$2)*86400</f>
        <v>401.958000054</v>
      </c>
      <c r="O390" s="3" t="n">
        <f aca="false">D390*0.3048</f>
        <v>44.98848</v>
      </c>
      <c r="P390" s="3" t="n">
        <f aca="false">E390*0.44704</f>
        <v>3.978656</v>
      </c>
      <c r="Q390" s="3" t="n">
        <f aca="false">F390*0.44704</f>
        <v>4.02336</v>
      </c>
    </row>
    <row r="391" customFormat="false" ht="15" hidden="false" customHeight="false" outlineLevel="0" collapsed="false">
      <c r="A391" s="8" t="n">
        <v>46315.8960286111</v>
      </c>
      <c r="B391" s="3" t="s">
        <v>422</v>
      </c>
      <c r="C391" s="0" t="n">
        <v>2</v>
      </c>
      <c r="D391" s="0" t="n">
        <v>147.6</v>
      </c>
      <c r="E391" s="0" t="n">
        <v>8.9</v>
      </c>
      <c r="F391" s="0" t="n">
        <v>9</v>
      </c>
      <c r="G391" s="0" t="n">
        <v>0</v>
      </c>
      <c r="H391" s="0" t="n">
        <v>0</v>
      </c>
      <c r="I391" s="0" t="n">
        <v>-0.1</v>
      </c>
      <c r="J391" s="0" t="n">
        <v>277</v>
      </c>
      <c r="K391" s="0" t="n">
        <v>-35.36314</v>
      </c>
      <c r="L391" s="0" t="n">
        <v>149.1641777</v>
      </c>
      <c r="M391" s="0" t="n">
        <v>321.2</v>
      </c>
      <c r="N391" s="3" t="n">
        <f aca="false">(A391-$A$2)*86400</f>
        <v>402.96999982</v>
      </c>
      <c r="O391" s="3" t="n">
        <f aca="false">D391*0.3048</f>
        <v>44.98848</v>
      </c>
      <c r="P391" s="3" t="n">
        <f aca="false">E391*0.44704</f>
        <v>3.978656</v>
      </c>
      <c r="Q391" s="3" t="n">
        <f aca="false">F391*0.44704</f>
        <v>4.02336</v>
      </c>
    </row>
    <row r="392" customFormat="false" ht="15" hidden="false" customHeight="false" outlineLevel="0" collapsed="false">
      <c r="A392" s="8" t="n">
        <v>46315.8960401157</v>
      </c>
      <c r="B392" s="3" t="s">
        <v>423</v>
      </c>
      <c r="C392" s="0" t="n">
        <v>2</v>
      </c>
      <c r="D392" s="0" t="n">
        <v>147.6</v>
      </c>
      <c r="E392" s="0" t="n">
        <v>8.9</v>
      </c>
      <c r="F392" s="0" t="n">
        <v>9</v>
      </c>
      <c r="G392" s="0" t="n">
        <v>0</v>
      </c>
      <c r="H392" s="0" t="n">
        <v>0</v>
      </c>
      <c r="I392" s="0" t="n">
        <v>-0.1</v>
      </c>
      <c r="J392" s="0" t="n">
        <v>277</v>
      </c>
      <c r="K392" s="0" t="n">
        <v>-35.3631391</v>
      </c>
      <c r="L392" s="0" t="n">
        <v>149.164169</v>
      </c>
      <c r="M392" s="0" t="n">
        <v>324.5</v>
      </c>
      <c r="N392" s="3" t="n">
        <f aca="false">(A392-$A$2)*86400</f>
        <v>403.963999659</v>
      </c>
      <c r="O392" s="3" t="n">
        <f aca="false">D392*0.3048</f>
        <v>44.98848</v>
      </c>
      <c r="P392" s="3" t="n">
        <f aca="false">E392*0.44704</f>
        <v>3.978656</v>
      </c>
      <c r="Q392" s="3" t="n">
        <f aca="false">F392*0.44704</f>
        <v>4.02336</v>
      </c>
    </row>
    <row r="393" customFormat="false" ht="15" hidden="false" customHeight="false" outlineLevel="0" collapsed="false">
      <c r="A393" s="8" t="n">
        <v>46315.8960515972</v>
      </c>
      <c r="B393" s="3" t="s">
        <v>424</v>
      </c>
      <c r="C393" s="0" t="n">
        <v>2</v>
      </c>
      <c r="D393" s="0" t="n">
        <v>147.6</v>
      </c>
      <c r="E393" s="0" t="n">
        <v>8.9</v>
      </c>
      <c r="F393" s="0" t="n">
        <v>8.9</v>
      </c>
      <c r="G393" s="0" t="n">
        <v>0</v>
      </c>
      <c r="H393" s="0" t="n">
        <v>0</v>
      </c>
      <c r="I393" s="0" t="n">
        <v>-0.1</v>
      </c>
      <c r="J393" s="0" t="n">
        <v>278</v>
      </c>
      <c r="K393" s="0" t="n">
        <v>-35.3631371</v>
      </c>
      <c r="L393" s="0" t="n">
        <v>149.1641516</v>
      </c>
      <c r="M393" s="0" t="n">
        <v>327.8</v>
      </c>
      <c r="N393" s="3" t="n">
        <f aca="false">(A393-$A$2)*86400</f>
        <v>404.955999786</v>
      </c>
      <c r="O393" s="3" t="n">
        <f aca="false">D393*0.3048</f>
        <v>44.98848</v>
      </c>
      <c r="P393" s="3" t="n">
        <f aca="false">E393*0.44704</f>
        <v>3.978656</v>
      </c>
      <c r="Q393" s="3" t="n">
        <f aca="false">F393*0.44704</f>
        <v>3.978656</v>
      </c>
    </row>
    <row r="394" customFormat="false" ht="15" hidden="false" customHeight="false" outlineLevel="0" collapsed="false">
      <c r="A394" s="8" t="n">
        <v>46315.8960632755</v>
      </c>
      <c r="B394" s="3" t="s">
        <v>425</v>
      </c>
      <c r="C394" s="0" t="n">
        <v>2</v>
      </c>
      <c r="D394" s="0" t="n">
        <v>147.6</v>
      </c>
      <c r="E394" s="0" t="n">
        <v>8.9</v>
      </c>
      <c r="F394" s="0" t="n">
        <v>8.9</v>
      </c>
      <c r="G394" s="0" t="n">
        <v>0</v>
      </c>
      <c r="H394" s="0" t="n">
        <v>0</v>
      </c>
      <c r="I394" s="0" t="n">
        <v>-0.1</v>
      </c>
      <c r="J394" s="0" t="n">
        <v>277</v>
      </c>
      <c r="K394" s="0" t="n">
        <v>-35.3631361</v>
      </c>
      <c r="L394" s="0" t="n">
        <v>149.1641428</v>
      </c>
      <c r="M394" s="0" t="n">
        <v>331.1</v>
      </c>
      <c r="N394" s="3" t="n">
        <f aca="false">(A394-$A$2)*86400</f>
        <v>405.964999669</v>
      </c>
      <c r="O394" s="3" t="n">
        <f aca="false">D394*0.3048</f>
        <v>44.98848</v>
      </c>
      <c r="P394" s="3" t="n">
        <f aca="false">E394*0.44704</f>
        <v>3.978656</v>
      </c>
      <c r="Q394" s="3" t="n">
        <f aca="false">F394*0.44704</f>
        <v>3.978656</v>
      </c>
    </row>
    <row r="395" customFormat="false" ht="15" hidden="false" customHeight="false" outlineLevel="0" collapsed="false">
      <c r="A395" s="8" t="n">
        <v>46315.8960747569</v>
      </c>
      <c r="B395" s="3" t="s">
        <v>426</v>
      </c>
      <c r="C395" s="0" t="n">
        <v>2</v>
      </c>
      <c r="D395" s="0" t="n">
        <v>147.6</v>
      </c>
      <c r="E395" s="0" t="n">
        <v>8.9</v>
      </c>
      <c r="F395" s="0" t="n">
        <v>8.9</v>
      </c>
      <c r="G395" s="0" t="n">
        <v>0</v>
      </c>
      <c r="H395" s="0" t="n">
        <v>0</v>
      </c>
      <c r="I395" s="0" t="n">
        <v>-0.1</v>
      </c>
      <c r="J395" s="0" t="n">
        <v>277</v>
      </c>
      <c r="K395" s="0" t="n">
        <v>-35.363135</v>
      </c>
      <c r="L395" s="0" t="n">
        <v>149.1641341</v>
      </c>
      <c r="M395" s="0" t="n">
        <v>334.3</v>
      </c>
      <c r="N395" s="3" t="n">
        <f aca="false">(A395-$A$2)*86400</f>
        <v>406.956999795</v>
      </c>
      <c r="O395" s="3" t="n">
        <f aca="false">D395*0.3048</f>
        <v>44.98848</v>
      </c>
      <c r="P395" s="3" t="n">
        <f aca="false">E395*0.44704</f>
        <v>3.978656</v>
      </c>
      <c r="Q395" s="3" t="n">
        <f aca="false">F395*0.44704</f>
        <v>3.978656</v>
      </c>
    </row>
    <row r="396" customFormat="false" ht="15" hidden="false" customHeight="false" outlineLevel="0" collapsed="false">
      <c r="A396" s="8" t="n">
        <v>46315.8960861343</v>
      </c>
      <c r="B396" s="3" t="s">
        <v>427</v>
      </c>
      <c r="C396" s="0" t="n">
        <v>2</v>
      </c>
      <c r="D396" s="0" t="n">
        <v>147.6</v>
      </c>
      <c r="E396" s="0" t="n">
        <v>8.9</v>
      </c>
      <c r="F396" s="0" t="n">
        <v>8.9</v>
      </c>
      <c r="G396" s="0" t="n">
        <v>0</v>
      </c>
      <c r="H396" s="0" t="n">
        <v>0</v>
      </c>
      <c r="I396" s="0" t="n">
        <v>-0.1</v>
      </c>
      <c r="J396" s="0" t="n">
        <v>277</v>
      </c>
      <c r="K396" s="0" t="n">
        <v>-35.363134</v>
      </c>
      <c r="L396" s="0" t="n">
        <v>149.1641254</v>
      </c>
      <c r="M396" s="0" t="n">
        <v>337.6</v>
      </c>
      <c r="N396" s="3" t="n">
        <f aca="false">(A396-$A$2)*86400</f>
        <v>407.939999643</v>
      </c>
      <c r="O396" s="3" t="n">
        <f aca="false">D396*0.3048</f>
        <v>44.98848</v>
      </c>
      <c r="P396" s="3" t="n">
        <f aca="false">E396*0.44704</f>
        <v>3.978656</v>
      </c>
      <c r="Q396" s="3" t="n">
        <f aca="false">F396*0.44704</f>
        <v>3.978656</v>
      </c>
    </row>
    <row r="397" customFormat="false" ht="15" hidden="false" customHeight="false" outlineLevel="0" collapsed="false">
      <c r="A397" s="8" t="n">
        <v>46315.896098206</v>
      </c>
      <c r="B397" s="3" t="s">
        <v>428</v>
      </c>
      <c r="C397" s="0" t="n">
        <v>2</v>
      </c>
      <c r="D397" s="0" t="n">
        <v>147.6</v>
      </c>
      <c r="E397" s="0" t="n">
        <v>8.9</v>
      </c>
      <c r="F397" s="0" t="n">
        <v>8.9</v>
      </c>
      <c r="G397" s="0" t="n">
        <v>0</v>
      </c>
      <c r="H397" s="0" t="n">
        <v>0</v>
      </c>
      <c r="I397" s="0" t="n">
        <v>-0.1</v>
      </c>
      <c r="J397" s="0" t="n">
        <v>277</v>
      </c>
      <c r="K397" s="0" t="n">
        <v>-35.3631321</v>
      </c>
      <c r="L397" s="0" t="n">
        <v>149.1641079</v>
      </c>
      <c r="M397" s="0" t="n">
        <v>340.9</v>
      </c>
      <c r="N397" s="3" t="n">
        <f aca="false">(A397-$A$2)*86400</f>
        <v>408.983000298</v>
      </c>
      <c r="O397" s="3" t="n">
        <f aca="false">D397*0.3048</f>
        <v>44.98848</v>
      </c>
      <c r="P397" s="3" t="n">
        <f aca="false">E397*0.44704</f>
        <v>3.978656</v>
      </c>
      <c r="Q397" s="3" t="n">
        <f aca="false">F397*0.44704</f>
        <v>3.978656</v>
      </c>
    </row>
    <row r="398" customFormat="false" ht="15" hidden="false" customHeight="false" outlineLevel="0" collapsed="false">
      <c r="A398" s="8" t="n">
        <v>46315.8961096644</v>
      </c>
      <c r="B398" s="3" t="s">
        <v>429</v>
      </c>
      <c r="C398" s="0" t="n">
        <v>2</v>
      </c>
      <c r="D398" s="0" t="n">
        <v>147.6</v>
      </c>
      <c r="E398" s="0" t="n">
        <v>8.9</v>
      </c>
      <c r="F398" s="0" t="n">
        <v>8.9</v>
      </c>
      <c r="G398" s="0" t="n">
        <v>0</v>
      </c>
      <c r="H398" s="0" t="n">
        <v>0</v>
      </c>
      <c r="I398" s="0" t="n">
        <v>-0.1</v>
      </c>
      <c r="J398" s="0" t="n">
        <v>277</v>
      </c>
      <c r="K398" s="0" t="n">
        <v>-35.363131</v>
      </c>
      <c r="L398" s="0" t="n">
        <v>149.1640992</v>
      </c>
      <c r="M398" s="0" t="n">
        <v>344.2</v>
      </c>
      <c r="N398" s="3" t="n">
        <f aca="false">(A398-$A$2)*86400</f>
        <v>409.972999454</v>
      </c>
      <c r="O398" s="3" t="n">
        <f aca="false">D398*0.3048</f>
        <v>44.98848</v>
      </c>
      <c r="P398" s="3" t="n">
        <f aca="false">E398*0.44704</f>
        <v>3.978656</v>
      </c>
      <c r="Q398" s="3" t="n">
        <f aca="false">F398*0.44704</f>
        <v>3.978656</v>
      </c>
    </row>
    <row r="399" customFormat="false" ht="15" hidden="false" customHeight="false" outlineLevel="0" collapsed="false">
      <c r="A399" s="8" t="n">
        <v>46315.8961209028</v>
      </c>
      <c r="B399" s="3" t="s">
        <v>429</v>
      </c>
      <c r="C399" s="0" t="n">
        <v>2</v>
      </c>
      <c r="D399" s="0" t="n">
        <v>147.6</v>
      </c>
      <c r="E399" s="0" t="n">
        <v>8.9</v>
      </c>
      <c r="F399" s="0" t="n">
        <v>8.9</v>
      </c>
      <c r="G399" s="0" t="n">
        <v>0</v>
      </c>
      <c r="H399" s="0" t="n">
        <v>0</v>
      </c>
      <c r="I399" s="0" t="n">
        <v>-0.2</v>
      </c>
      <c r="J399" s="0" t="n">
        <v>277</v>
      </c>
      <c r="K399" s="0" t="n">
        <v>-35.3631301</v>
      </c>
      <c r="L399" s="0" t="n">
        <v>149.1640904</v>
      </c>
      <c r="M399" s="0" t="n">
        <v>347.5</v>
      </c>
      <c r="N399" s="3" t="n">
        <f aca="false">(A399-$A$2)*86400</f>
        <v>410.94399977</v>
      </c>
      <c r="O399" s="3" t="n">
        <f aca="false">D399*0.3048</f>
        <v>44.98848</v>
      </c>
      <c r="P399" s="3" t="n">
        <f aca="false">E399*0.44704</f>
        <v>3.978656</v>
      </c>
      <c r="Q399" s="3" t="n">
        <f aca="false">F399*0.44704</f>
        <v>3.978656</v>
      </c>
    </row>
    <row r="400" customFormat="false" ht="15" hidden="false" customHeight="false" outlineLevel="0" collapsed="false">
      <c r="A400" s="8" t="n">
        <v>46315.8961328472</v>
      </c>
      <c r="B400" s="3" t="s">
        <v>430</v>
      </c>
      <c r="C400" s="0" t="n">
        <v>2</v>
      </c>
      <c r="D400" s="0" t="n">
        <v>147.6</v>
      </c>
      <c r="E400" s="0" t="n">
        <v>8.9</v>
      </c>
      <c r="F400" s="0" t="n">
        <v>9</v>
      </c>
      <c r="G400" s="0" t="n">
        <v>0</v>
      </c>
      <c r="H400" s="0" t="n">
        <v>0</v>
      </c>
      <c r="I400" s="0" t="n">
        <v>-0.1</v>
      </c>
      <c r="J400" s="0" t="n">
        <v>277</v>
      </c>
      <c r="K400" s="0" t="n">
        <v>-35.363129</v>
      </c>
      <c r="L400" s="0" t="n">
        <v>149.1640817</v>
      </c>
      <c r="M400" s="0" t="n">
        <v>350.7</v>
      </c>
      <c r="N400" s="3" t="n">
        <f aca="false">(A400-$A$2)*86400</f>
        <v>411.975999805</v>
      </c>
      <c r="O400" s="3" t="n">
        <f aca="false">D400*0.3048</f>
        <v>44.98848</v>
      </c>
      <c r="P400" s="3" t="n">
        <f aca="false">E400*0.44704</f>
        <v>3.978656</v>
      </c>
      <c r="Q400" s="3" t="n">
        <f aca="false">F400*0.44704</f>
        <v>4.02336</v>
      </c>
    </row>
    <row r="401" customFormat="false" ht="15" hidden="false" customHeight="false" outlineLevel="0" collapsed="false">
      <c r="A401" s="8" t="n">
        <v>46315.8961447917</v>
      </c>
      <c r="B401" s="3" t="s">
        <v>431</v>
      </c>
      <c r="C401" s="0" t="n">
        <v>2</v>
      </c>
      <c r="D401" s="0" t="n">
        <v>147.6</v>
      </c>
      <c r="E401" s="0" t="n">
        <v>8.9</v>
      </c>
      <c r="F401" s="0" t="n">
        <v>9</v>
      </c>
      <c r="G401" s="0" t="n">
        <v>0</v>
      </c>
      <c r="H401" s="0" t="n">
        <v>0</v>
      </c>
      <c r="I401" s="0" t="n">
        <v>-0.1</v>
      </c>
      <c r="J401" s="0" t="n">
        <v>277</v>
      </c>
      <c r="K401" s="0" t="n">
        <v>-35.3631271</v>
      </c>
      <c r="L401" s="0" t="n">
        <v>149.1640643</v>
      </c>
      <c r="M401" s="0" t="n">
        <v>354</v>
      </c>
      <c r="N401" s="3" t="n">
        <f aca="false">(A401-$A$2)*86400</f>
        <v>413.008000468</v>
      </c>
      <c r="O401" s="3" t="n">
        <f aca="false">D401*0.3048</f>
        <v>44.98848</v>
      </c>
      <c r="P401" s="3" t="n">
        <f aca="false">E401*0.44704</f>
        <v>3.978656</v>
      </c>
      <c r="Q401" s="3" t="n">
        <f aca="false">F401*0.44704</f>
        <v>4.02336</v>
      </c>
    </row>
    <row r="402" customFormat="false" ht="15" hidden="false" customHeight="false" outlineLevel="0" collapsed="false">
      <c r="A402" s="8" t="n">
        <v>46315.8961556482</v>
      </c>
      <c r="B402" s="3" t="s">
        <v>431</v>
      </c>
      <c r="C402" s="0" t="n">
        <v>2</v>
      </c>
      <c r="D402" s="0" t="n">
        <v>147.6</v>
      </c>
      <c r="E402" s="0" t="n">
        <v>8.9</v>
      </c>
      <c r="F402" s="0" t="n">
        <v>9</v>
      </c>
      <c r="G402" s="0" t="n">
        <v>0</v>
      </c>
      <c r="H402" s="0" t="n">
        <v>0</v>
      </c>
      <c r="I402" s="0" t="n">
        <v>-0.1</v>
      </c>
      <c r="J402" s="0" t="n">
        <v>277</v>
      </c>
      <c r="K402" s="0" t="n">
        <v>-35.3631271</v>
      </c>
      <c r="L402" s="0" t="n">
        <v>149.1640643</v>
      </c>
      <c r="M402" s="0" t="n">
        <v>354</v>
      </c>
      <c r="N402" s="3" t="n">
        <f aca="false">(A402-$A$2)*86400</f>
        <v>413.946000183</v>
      </c>
      <c r="O402" s="3" t="n">
        <f aca="false">D402*0.3048</f>
        <v>44.98848</v>
      </c>
      <c r="P402" s="3" t="n">
        <f aca="false">E402*0.44704</f>
        <v>3.978656</v>
      </c>
      <c r="Q402" s="3" t="n">
        <f aca="false">F402*0.44704</f>
        <v>4.02336</v>
      </c>
    </row>
    <row r="403" customFormat="false" ht="15" hidden="false" customHeight="false" outlineLevel="0" collapsed="false">
      <c r="A403" s="8" t="n">
        <v>46315.8961677662</v>
      </c>
      <c r="B403" s="3" t="s">
        <v>432</v>
      </c>
      <c r="C403" s="0" t="n">
        <v>2</v>
      </c>
      <c r="D403" s="0" t="n">
        <v>147.6</v>
      </c>
      <c r="E403" s="0" t="n">
        <v>8.9</v>
      </c>
      <c r="F403" s="0" t="n">
        <v>9</v>
      </c>
      <c r="G403" s="0" t="n">
        <v>0</v>
      </c>
      <c r="H403" s="0" t="n">
        <v>0</v>
      </c>
      <c r="I403" s="0" t="n">
        <v>-0.1</v>
      </c>
      <c r="J403" s="0" t="n">
        <v>277</v>
      </c>
      <c r="K403" s="0" t="n">
        <v>-35.3631261</v>
      </c>
      <c r="L403" s="0" t="n">
        <v>149.1640555</v>
      </c>
      <c r="M403" s="0" t="n">
        <v>357.3</v>
      </c>
      <c r="N403" s="3" t="n">
        <f aca="false">(A403-$A$2)*86400</f>
        <v>414.992999634</v>
      </c>
      <c r="O403" s="3" t="n">
        <f aca="false">D403*0.3048</f>
        <v>44.98848</v>
      </c>
      <c r="P403" s="3" t="n">
        <f aca="false">E403*0.44704</f>
        <v>3.978656</v>
      </c>
      <c r="Q403" s="3" t="n">
        <f aca="false">F403*0.44704</f>
        <v>4.02336</v>
      </c>
    </row>
    <row r="404" customFormat="false" ht="15" hidden="false" customHeight="false" outlineLevel="0" collapsed="false">
      <c r="A404" s="8" t="n">
        <v>46315.8961787616</v>
      </c>
      <c r="B404" s="3" t="s">
        <v>433</v>
      </c>
      <c r="C404" s="0" t="n">
        <v>2</v>
      </c>
      <c r="D404" s="0" t="n">
        <v>147.6</v>
      </c>
      <c r="E404" s="0" t="n">
        <v>8.9</v>
      </c>
      <c r="F404" s="0" t="n">
        <v>9</v>
      </c>
      <c r="G404" s="0" t="n">
        <v>0</v>
      </c>
      <c r="H404" s="0" t="n">
        <v>0</v>
      </c>
      <c r="I404" s="0" t="n">
        <v>-0.1</v>
      </c>
      <c r="J404" s="0" t="n">
        <v>277</v>
      </c>
      <c r="K404" s="0" t="n">
        <v>-35.363125</v>
      </c>
      <c r="L404" s="0" t="n">
        <v>149.1640468</v>
      </c>
      <c r="M404" s="0" t="n">
        <v>360.6</v>
      </c>
      <c r="N404" s="3" t="n">
        <f aca="false">(A404-$A$2)*86400</f>
        <v>415.943000139</v>
      </c>
      <c r="O404" s="3" t="n">
        <f aca="false">D404*0.3048</f>
        <v>44.98848</v>
      </c>
      <c r="P404" s="3" t="n">
        <f aca="false">E404*0.44704</f>
        <v>3.978656</v>
      </c>
      <c r="Q404" s="3" t="n">
        <f aca="false">F404*0.44704</f>
        <v>4.02336</v>
      </c>
    </row>
    <row r="405" customFormat="false" ht="15" hidden="false" customHeight="false" outlineLevel="0" collapsed="false">
      <c r="A405" s="8" t="n">
        <v>46315.8961903357</v>
      </c>
      <c r="B405" s="3" t="s">
        <v>434</v>
      </c>
      <c r="C405" s="0" t="n">
        <v>2</v>
      </c>
      <c r="D405" s="0" t="n">
        <v>147.6</v>
      </c>
      <c r="E405" s="0" t="n">
        <v>8.9</v>
      </c>
      <c r="F405" s="0" t="n">
        <v>9</v>
      </c>
      <c r="G405" s="0" t="n">
        <v>0</v>
      </c>
      <c r="H405" s="0" t="n">
        <v>0</v>
      </c>
      <c r="I405" s="0" t="n">
        <v>-0.1</v>
      </c>
      <c r="J405" s="0" t="n">
        <v>278</v>
      </c>
      <c r="K405" s="0" t="n">
        <v>-35.363124</v>
      </c>
      <c r="L405" s="0" t="n">
        <v>149.1640381</v>
      </c>
      <c r="M405" s="0" t="n">
        <v>363.8</v>
      </c>
      <c r="N405" s="3" t="n">
        <f aca="false">(A405-$A$2)*86400</f>
        <v>416.942999744</v>
      </c>
      <c r="O405" s="3" t="n">
        <f aca="false">D405*0.3048</f>
        <v>44.98848</v>
      </c>
      <c r="P405" s="3" t="n">
        <f aca="false">E405*0.44704</f>
        <v>3.978656</v>
      </c>
      <c r="Q405" s="3" t="n">
        <f aca="false">F405*0.44704</f>
        <v>4.02336</v>
      </c>
    </row>
    <row r="406" customFormat="false" ht="15" hidden="false" customHeight="false" outlineLevel="0" collapsed="false">
      <c r="A406" s="8" t="n">
        <v>46315.8962020486</v>
      </c>
      <c r="B406" s="3" t="s">
        <v>435</v>
      </c>
      <c r="C406" s="0" t="n">
        <v>2</v>
      </c>
      <c r="D406" s="0" t="n">
        <v>147.6</v>
      </c>
      <c r="E406" s="0" t="n">
        <v>8.9</v>
      </c>
      <c r="F406" s="0" t="n">
        <v>8.9</v>
      </c>
      <c r="G406" s="0" t="n">
        <v>0</v>
      </c>
      <c r="H406" s="0" t="n">
        <v>0</v>
      </c>
      <c r="I406" s="0" t="n">
        <v>-0.1</v>
      </c>
      <c r="J406" s="0" t="n">
        <v>277</v>
      </c>
      <c r="K406" s="0" t="n">
        <v>-35.363122</v>
      </c>
      <c r="L406" s="0" t="n">
        <v>149.1640206</v>
      </c>
      <c r="M406" s="0" t="n">
        <v>367.1</v>
      </c>
      <c r="N406" s="3" t="n">
        <f aca="false">(A406-$A$2)*86400</f>
        <v>417.954999511</v>
      </c>
      <c r="O406" s="3" t="n">
        <f aca="false">D406*0.3048</f>
        <v>44.98848</v>
      </c>
      <c r="P406" s="3" t="n">
        <f aca="false">E406*0.44704</f>
        <v>3.978656</v>
      </c>
      <c r="Q406" s="3" t="n">
        <f aca="false">F406*0.44704</f>
        <v>3.978656</v>
      </c>
    </row>
    <row r="407" customFormat="false" ht="15" hidden="false" customHeight="false" outlineLevel="0" collapsed="false">
      <c r="A407" s="8" t="n">
        <v>46315.89621375</v>
      </c>
      <c r="B407" s="3" t="s">
        <v>436</v>
      </c>
      <c r="C407" s="0" t="n">
        <v>2</v>
      </c>
      <c r="D407" s="0" t="n">
        <v>147.6</v>
      </c>
      <c r="E407" s="0" t="n">
        <v>8.9</v>
      </c>
      <c r="F407" s="0" t="n">
        <v>8.9</v>
      </c>
      <c r="G407" s="0" t="n">
        <v>0</v>
      </c>
      <c r="H407" s="0" t="n">
        <v>0</v>
      </c>
      <c r="I407" s="0" t="n">
        <v>-0.1</v>
      </c>
      <c r="J407" s="0" t="n">
        <v>277</v>
      </c>
      <c r="K407" s="0" t="n">
        <v>-35.363121</v>
      </c>
      <c r="L407" s="0" t="n">
        <v>149.1640119</v>
      </c>
      <c r="M407" s="0" t="n">
        <v>370.4</v>
      </c>
      <c r="N407" s="3" t="n">
        <f aca="false">(A407-$A$2)*86400</f>
        <v>418.965999735</v>
      </c>
      <c r="O407" s="3" t="n">
        <f aca="false">D407*0.3048</f>
        <v>44.98848</v>
      </c>
      <c r="P407" s="3" t="n">
        <f aca="false">E407*0.44704</f>
        <v>3.978656</v>
      </c>
      <c r="Q407" s="3" t="n">
        <f aca="false">F407*0.44704</f>
        <v>3.978656</v>
      </c>
    </row>
    <row r="408" customFormat="false" ht="15" hidden="false" customHeight="false" outlineLevel="0" collapsed="false">
      <c r="A408" s="8" t="n">
        <v>46315.8962252546</v>
      </c>
      <c r="B408" s="3" t="s">
        <v>437</v>
      </c>
      <c r="C408" s="0" t="n">
        <v>2</v>
      </c>
      <c r="D408" s="0" t="n">
        <v>147.6</v>
      </c>
      <c r="E408" s="0" t="n">
        <v>8.9</v>
      </c>
      <c r="F408" s="0" t="n">
        <v>8.9</v>
      </c>
      <c r="G408" s="0" t="n">
        <v>0</v>
      </c>
      <c r="H408" s="0" t="n">
        <v>0</v>
      </c>
      <c r="I408" s="0" t="n">
        <v>-0.1</v>
      </c>
      <c r="J408" s="0" t="n">
        <v>277</v>
      </c>
      <c r="K408" s="0" t="n">
        <v>-35.3631199</v>
      </c>
      <c r="L408" s="0" t="n">
        <v>149.1640032</v>
      </c>
      <c r="M408" s="0" t="n">
        <v>373.7</v>
      </c>
      <c r="N408" s="3" t="n">
        <f aca="false">(A408-$A$2)*86400</f>
        <v>419.960000202</v>
      </c>
      <c r="O408" s="3" t="n">
        <f aca="false">D408*0.3048</f>
        <v>44.98848</v>
      </c>
      <c r="P408" s="3" t="n">
        <f aca="false">E408*0.44704</f>
        <v>3.978656</v>
      </c>
      <c r="Q408" s="3" t="n">
        <f aca="false">F408*0.44704</f>
        <v>3.978656</v>
      </c>
    </row>
    <row r="409" customFormat="false" ht="15" hidden="false" customHeight="false" outlineLevel="0" collapsed="false">
      <c r="A409" s="8" t="n">
        <v>46315.8962369329</v>
      </c>
      <c r="B409" s="3" t="s">
        <v>438</v>
      </c>
      <c r="C409" s="0" t="n">
        <v>2</v>
      </c>
      <c r="D409" s="0" t="n">
        <v>147.6</v>
      </c>
      <c r="E409" s="0" t="n">
        <v>8.9</v>
      </c>
      <c r="F409" s="0" t="n">
        <v>8.9</v>
      </c>
      <c r="G409" s="0" t="n">
        <v>0</v>
      </c>
      <c r="H409" s="0" t="n">
        <v>0</v>
      </c>
      <c r="I409" s="0" t="n">
        <v>-0.1</v>
      </c>
      <c r="J409" s="0" t="n">
        <v>277</v>
      </c>
      <c r="K409" s="0" t="n">
        <v>-35.363119</v>
      </c>
      <c r="L409" s="0" t="n">
        <v>149.1639945</v>
      </c>
      <c r="M409" s="0" t="n">
        <v>377</v>
      </c>
      <c r="N409" s="3" t="n">
        <f aca="false">(A409-$A$2)*86400</f>
        <v>420.969000086</v>
      </c>
      <c r="O409" s="3" t="n">
        <f aca="false">D409*0.3048</f>
        <v>44.98848</v>
      </c>
      <c r="P409" s="3" t="n">
        <f aca="false">E409*0.44704</f>
        <v>3.978656</v>
      </c>
      <c r="Q409" s="3" t="n">
        <f aca="false">F409*0.44704</f>
        <v>3.978656</v>
      </c>
    </row>
    <row r="410" customFormat="false" ht="15" hidden="false" customHeight="false" outlineLevel="0" collapsed="false">
      <c r="A410" s="8" t="n">
        <v>46315.896248287</v>
      </c>
      <c r="B410" s="3" t="s">
        <v>439</v>
      </c>
      <c r="C410" s="0" t="n">
        <v>2</v>
      </c>
      <c r="D410" s="0" t="n">
        <v>147.6</v>
      </c>
      <c r="E410" s="0" t="n">
        <v>8.9</v>
      </c>
      <c r="F410" s="0" t="n">
        <v>8.9</v>
      </c>
      <c r="G410" s="0" t="n">
        <v>0</v>
      </c>
      <c r="H410" s="0" t="n">
        <v>0</v>
      </c>
      <c r="I410" s="0" t="n">
        <v>-0.1</v>
      </c>
      <c r="J410" s="0" t="n">
        <v>277</v>
      </c>
      <c r="K410" s="0" t="n">
        <v>-35.363117</v>
      </c>
      <c r="L410" s="0" t="n">
        <v>149.163977</v>
      </c>
      <c r="M410" s="0" t="n">
        <v>380.2</v>
      </c>
      <c r="N410" s="3" t="n">
        <f aca="false">(A410-$A$2)*86400</f>
        <v>421.949998964</v>
      </c>
      <c r="O410" s="3" t="n">
        <f aca="false">D410*0.3048</f>
        <v>44.98848</v>
      </c>
      <c r="P410" s="3" t="n">
        <f aca="false">E410*0.44704</f>
        <v>3.978656</v>
      </c>
      <c r="Q410" s="3" t="n">
        <f aca="false">F410*0.44704</f>
        <v>3.978656</v>
      </c>
    </row>
    <row r="411" customFormat="false" ht="15" hidden="false" customHeight="false" outlineLevel="0" collapsed="false">
      <c r="A411" s="8" t="n">
        <v>46315.8962802315</v>
      </c>
      <c r="B411" s="3" t="s">
        <v>440</v>
      </c>
      <c r="C411" s="0" t="n">
        <v>2</v>
      </c>
      <c r="D411" s="0" t="n">
        <v>147.6</v>
      </c>
      <c r="E411" s="0" t="n">
        <v>8.9</v>
      </c>
      <c r="F411" s="0" t="n">
        <v>9</v>
      </c>
      <c r="G411" s="0" t="n">
        <v>0</v>
      </c>
      <c r="H411" s="0" t="n">
        <v>0</v>
      </c>
      <c r="I411" s="0" t="n">
        <v>-0.1</v>
      </c>
      <c r="J411" s="0" t="n">
        <v>277</v>
      </c>
      <c r="K411" s="0" t="n">
        <v>-35.363115</v>
      </c>
      <c r="L411" s="0" t="n">
        <v>149.1639595</v>
      </c>
      <c r="M411" s="0" t="n">
        <v>386.8</v>
      </c>
      <c r="N411" s="3" t="n">
        <f aca="false">(A411-$A$2)*86400</f>
        <v>424.709999584</v>
      </c>
      <c r="O411" s="3" t="n">
        <f aca="false">D411*0.3048</f>
        <v>44.98848</v>
      </c>
      <c r="P411" s="3" t="n">
        <f aca="false">E411*0.44704</f>
        <v>3.978656</v>
      </c>
      <c r="Q411" s="3" t="n">
        <f aca="false">F411*0.44704</f>
        <v>4.02336</v>
      </c>
    </row>
    <row r="412" customFormat="false" ht="15" hidden="false" customHeight="false" outlineLevel="0" collapsed="false">
      <c r="A412" s="8" t="n">
        <v>46315.8963062269</v>
      </c>
      <c r="B412" s="3" t="s">
        <v>441</v>
      </c>
      <c r="C412" s="0" t="n">
        <v>2</v>
      </c>
      <c r="D412" s="0" t="n">
        <v>147.6</v>
      </c>
      <c r="E412" s="0" t="n">
        <v>8.9</v>
      </c>
      <c r="F412" s="0" t="n">
        <v>9</v>
      </c>
      <c r="G412" s="0" t="n">
        <v>0</v>
      </c>
      <c r="H412" s="0" t="n">
        <v>0</v>
      </c>
      <c r="I412" s="0" t="n">
        <v>-0.1</v>
      </c>
      <c r="J412" s="0" t="n">
        <v>277</v>
      </c>
      <c r="K412" s="0" t="n">
        <v>-35.363115</v>
      </c>
      <c r="L412" s="0" t="n">
        <v>149.1639595</v>
      </c>
      <c r="M412" s="0" t="n">
        <v>386.8</v>
      </c>
      <c r="N412" s="3" t="n">
        <f aca="false">(A412-$A$2)*86400</f>
        <v>426.955999899</v>
      </c>
      <c r="O412" s="3" t="n">
        <f aca="false">D412*0.3048</f>
        <v>44.98848</v>
      </c>
      <c r="P412" s="3" t="n">
        <f aca="false">E412*0.44704</f>
        <v>3.978656</v>
      </c>
      <c r="Q412" s="3" t="n">
        <f aca="false">F412*0.44704</f>
        <v>4.02336</v>
      </c>
    </row>
    <row r="413" customFormat="false" ht="15" hidden="false" customHeight="false" outlineLevel="0" collapsed="false">
      <c r="A413" s="8" t="n">
        <v>46315.8963180208</v>
      </c>
      <c r="B413" s="3" t="s">
        <v>441</v>
      </c>
      <c r="C413" s="0" t="n">
        <v>2</v>
      </c>
      <c r="D413" s="0" t="n">
        <v>147.6</v>
      </c>
      <c r="E413" s="0" t="n">
        <v>8.9</v>
      </c>
      <c r="F413" s="0" t="n">
        <v>8.9</v>
      </c>
      <c r="G413" s="0" t="n">
        <v>0</v>
      </c>
      <c r="H413" s="0" t="n">
        <v>0</v>
      </c>
      <c r="I413" s="0" t="n">
        <v>-0.1</v>
      </c>
      <c r="J413" s="0" t="n">
        <v>277</v>
      </c>
      <c r="K413" s="0" t="n">
        <v>-35.3631109</v>
      </c>
      <c r="L413" s="0" t="n">
        <v>149.1639246</v>
      </c>
      <c r="M413" s="0" t="n">
        <v>396.6</v>
      </c>
      <c r="N413" s="3" t="n">
        <f aca="false">(A413-$A$2)*86400</f>
        <v>427.974999602</v>
      </c>
      <c r="O413" s="3" t="n">
        <f aca="false">D413*0.3048</f>
        <v>44.98848</v>
      </c>
      <c r="P413" s="3" t="n">
        <f aca="false">E413*0.44704</f>
        <v>3.978656</v>
      </c>
      <c r="Q413" s="3" t="n">
        <f aca="false">F413*0.44704</f>
        <v>3.978656</v>
      </c>
    </row>
    <row r="414" customFormat="false" ht="15" hidden="false" customHeight="false" outlineLevel="0" collapsed="false">
      <c r="A414" s="8" t="n">
        <v>46315.8963300926</v>
      </c>
      <c r="B414" s="3" t="s">
        <v>442</v>
      </c>
      <c r="C414" s="0" t="n">
        <v>2</v>
      </c>
      <c r="D414" s="0" t="n">
        <v>147.6</v>
      </c>
      <c r="E414" s="0" t="n">
        <v>8.9</v>
      </c>
      <c r="F414" s="0" t="n">
        <v>8.9</v>
      </c>
      <c r="G414" s="0" t="n">
        <v>0</v>
      </c>
      <c r="H414" s="0" t="n">
        <v>0</v>
      </c>
      <c r="I414" s="0" t="n">
        <v>-0.1</v>
      </c>
      <c r="J414" s="0" t="n">
        <v>277</v>
      </c>
      <c r="K414" s="0" t="n">
        <v>-35.36311</v>
      </c>
      <c r="L414" s="0" t="n">
        <v>149.1639159</v>
      </c>
      <c r="M414" s="0" t="n">
        <v>399.9</v>
      </c>
      <c r="N414" s="3" t="n">
        <f aca="false">(A414-$A$2)*86400</f>
        <v>429.017999628</v>
      </c>
      <c r="O414" s="3" t="n">
        <f aca="false">D414*0.3048</f>
        <v>44.98848</v>
      </c>
      <c r="P414" s="3" t="n">
        <f aca="false">E414*0.44704</f>
        <v>3.978656</v>
      </c>
      <c r="Q414" s="3" t="n">
        <f aca="false">F414*0.44704</f>
        <v>3.978656</v>
      </c>
    </row>
    <row r="415" customFormat="false" ht="15" hidden="false" customHeight="false" outlineLevel="0" collapsed="false">
      <c r="A415" s="8" t="n">
        <v>46315.8963420023</v>
      </c>
      <c r="B415" s="3" t="s">
        <v>443</v>
      </c>
      <c r="C415" s="0" t="n">
        <v>2</v>
      </c>
      <c r="D415" s="0" t="n">
        <v>147.6</v>
      </c>
      <c r="E415" s="0" t="n">
        <v>8.9</v>
      </c>
      <c r="F415" s="0" t="n">
        <v>8.9</v>
      </c>
      <c r="G415" s="0" t="n">
        <v>0</v>
      </c>
      <c r="H415" s="0" t="n">
        <v>0</v>
      </c>
      <c r="I415" s="0" t="n">
        <v>-0.1</v>
      </c>
      <c r="J415" s="0" t="n">
        <v>277</v>
      </c>
      <c r="K415" s="0" t="n">
        <v>-35.3631089</v>
      </c>
      <c r="L415" s="0" t="n">
        <v>149.1639071</v>
      </c>
      <c r="M415" s="0" t="n">
        <v>403.2</v>
      </c>
      <c r="N415" s="3" t="n">
        <f aca="false">(A415-$A$2)*86400</f>
        <v>430.046999151</v>
      </c>
      <c r="O415" s="3" t="n">
        <f aca="false">D415*0.3048</f>
        <v>44.98848</v>
      </c>
      <c r="P415" s="3" t="n">
        <f aca="false">E415*0.44704</f>
        <v>3.978656</v>
      </c>
      <c r="Q415" s="3" t="n">
        <f aca="false">F415*0.44704</f>
        <v>3.978656</v>
      </c>
    </row>
    <row r="416" customFormat="false" ht="15" hidden="false" customHeight="false" outlineLevel="0" collapsed="false">
      <c r="A416" s="8" t="n">
        <v>46315.8963833912</v>
      </c>
      <c r="B416" s="3" t="s">
        <v>444</v>
      </c>
      <c r="C416" s="0" t="n">
        <v>2</v>
      </c>
      <c r="D416" s="0" t="n">
        <v>147.6</v>
      </c>
      <c r="E416" s="0" t="n">
        <v>8.9</v>
      </c>
      <c r="F416" s="0" t="n">
        <v>8.9</v>
      </c>
      <c r="G416" s="0" t="n">
        <v>0</v>
      </c>
      <c r="H416" s="0" t="n">
        <v>0</v>
      </c>
      <c r="I416" s="0" t="n">
        <v>0.6</v>
      </c>
      <c r="J416" s="0" t="n">
        <v>277</v>
      </c>
      <c r="K416" s="0" t="n">
        <v>-35.363106</v>
      </c>
      <c r="L416" s="0" t="n">
        <v>149.163881</v>
      </c>
      <c r="M416" s="0" t="n">
        <v>409.7</v>
      </c>
      <c r="N416" s="3" t="n">
        <f aca="false">(A416-$A$2)*86400</f>
        <v>433.623000676</v>
      </c>
      <c r="O416" s="3" t="n">
        <f aca="false">D416*0.3048</f>
        <v>44.98848</v>
      </c>
      <c r="P416" s="3" t="n">
        <f aca="false">E416*0.44704</f>
        <v>3.978656</v>
      </c>
      <c r="Q416" s="3" t="n">
        <f aca="false">F416*0.44704</f>
        <v>3.978656</v>
      </c>
    </row>
    <row r="417" customFormat="false" ht="15" hidden="false" customHeight="false" outlineLevel="0" collapsed="false">
      <c r="A417" s="8" t="n">
        <v>46315.896394456</v>
      </c>
      <c r="B417" s="3" t="s">
        <v>445</v>
      </c>
      <c r="C417" s="0" t="n">
        <v>2</v>
      </c>
      <c r="D417" s="0" t="n">
        <v>147.6</v>
      </c>
      <c r="E417" s="0" t="n">
        <v>8.9</v>
      </c>
      <c r="F417" s="0" t="n">
        <v>8.8</v>
      </c>
      <c r="G417" s="0" t="n">
        <v>0</v>
      </c>
      <c r="H417" s="0" t="n">
        <v>0</v>
      </c>
      <c r="I417" s="0" t="n">
        <v>2.5</v>
      </c>
      <c r="J417" s="0" t="n">
        <v>277</v>
      </c>
      <c r="K417" s="0" t="n">
        <v>-35.363105</v>
      </c>
      <c r="L417" s="0" t="n">
        <v>149.1638723</v>
      </c>
      <c r="M417" s="0" t="n">
        <v>412.9</v>
      </c>
      <c r="N417" s="3" t="n">
        <f aca="false">(A417-$A$2)*86400</f>
        <v>434.57899969</v>
      </c>
      <c r="O417" s="3" t="n">
        <f aca="false">D417*0.3048</f>
        <v>44.98848</v>
      </c>
      <c r="P417" s="3" t="n">
        <f aca="false">E417*0.44704</f>
        <v>3.978656</v>
      </c>
      <c r="Q417" s="3" t="n">
        <f aca="false">F417*0.44704</f>
        <v>3.933952</v>
      </c>
    </row>
    <row r="418" customFormat="false" ht="15" hidden="false" customHeight="false" outlineLevel="0" collapsed="false">
      <c r="A418" s="8" t="n">
        <v>46315.8964055093</v>
      </c>
      <c r="B418" s="3" t="s">
        <v>446</v>
      </c>
      <c r="C418" s="0" t="n">
        <v>2</v>
      </c>
      <c r="D418" s="0" t="n">
        <v>147.6</v>
      </c>
      <c r="E418" s="0" t="n">
        <v>8.8</v>
      </c>
      <c r="F418" s="0" t="n">
        <v>8.4</v>
      </c>
      <c r="G418" s="0" t="n">
        <v>0</v>
      </c>
      <c r="H418" s="0" t="n">
        <v>0</v>
      </c>
      <c r="I418" s="0" t="n">
        <v>4.5</v>
      </c>
      <c r="J418" s="0" t="n">
        <v>278</v>
      </c>
      <c r="K418" s="0" t="n">
        <v>-35.363104</v>
      </c>
      <c r="L418" s="0" t="n">
        <v>149.1638636</v>
      </c>
      <c r="M418" s="0" t="n">
        <v>416.1</v>
      </c>
      <c r="N418" s="3" t="n">
        <f aca="false">(A418-$A$2)*86400</f>
        <v>435.533999791</v>
      </c>
      <c r="O418" s="3" t="n">
        <f aca="false">D418*0.3048</f>
        <v>44.98848</v>
      </c>
      <c r="P418" s="3" t="n">
        <f aca="false">E418*0.44704</f>
        <v>3.933952</v>
      </c>
      <c r="Q418" s="3" t="n">
        <f aca="false">F418*0.44704</f>
        <v>3.755136</v>
      </c>
    </row>
    <row r="419" customFormat="false" ht="15" hidden="false" customHeight="false" outlineLevel="0" collapsed="false">
      <c r="A419" s="8" t="n">
        <v>46315.8964518403</v>
      </c>
      <c r="B419" s="3" t="s">
        <v>447</v>
      </c>
      <c r="C419" s="0" t="n">
        <v>2</v>
      </c>
      <c r="D419" s="0" t="n">
        <v>147.6</v>
      </c>
      <c r="E419" s="0" t="n">
        <v>8.1</v>
      </c>
      <c r="F419" s="0" t="n">
        <v>7.9</v>
      </c>
      <c r="G419" s="0" t="n">
        <v>0</v>
      </c>
      <c r="H419" s="0" t="n">
        <v>0</v>
      </c>
      <c r="I419" s="0" t="n">
        <v>6.4</v>
      </c>
      <c r="J419" s="0" t="n">
        <v>277</v>
      </c>
      <c r="K419" s="0" t="n">
        <v>-35.363102</v>
      </c>
      <c r="L419" s="0" t="n">
        <v>149.1638471</v>
      </c>
      <c r="M419" s="0" t="n">
        <v>419.1</v>
      </c>
      <c r="N419" s="3" t="n">
        <f aca="false">(A419-$A$2)*86400</f>
        <v>439.53699998</v>
      </c>
      <c r="O419" s="3" t="n">
        <f aca="false">D419*0.3048</f>
        <v>44.98848</v>
      </c>
      <c r="P419" s="3" t="n">
        <f aca="false">E419*0.44704</f>
        <v>3.621024</v>
      </c>
      <c r="Q419" s="3" t="n">
        <f aca="false">F419*0.44704</f>
        <v>3.531616</v>
      </c>
    </row>
    <row r="420" customFormat="false" ht="15" hidden="false" customHeight="false" outlineLevel="0" collapsed="false">
      <c r="A420" s="8" t="n">
        <v>46315.896486169</v>
      </c>
      <c r="B420" s="3" t="s">
        <v>448</v>
      </c>
      <c r="C420" s="0" t="n">
        <v>2</v>
      </c>
      <c r="D420" s="0" t="n">
        <v>147.7</v>
      </c>
      <c r="E420" s="0" t="n">
        <v>7.1</v>
      </c>
      <c r="F420" s="0" t="n">
        <v>6.3</v>
      </c>
      <c r="G420" s="0" t="n">
        <v>0</v>
      </c>
      <c r="H420" s="0" t="n">
        <v>0</v>
      </c>
      <c r="I420" s="0" t="n">
        <v>9.4</v>
      </c>
      <c r="J420" s="0" t="n">
        <v>278</v>
      </c>
      <c r="K420" s="0" t="n">
        <v>-35.3631003</v>
      </c>
      <c r="L420" s="0" t="n">
        <v>149.1638322</v>
      </c>
      <c r="M420" s="0" t="n">
        <v>424.3</v>
      </c>
      <c r="N420" s="3" t="n">
        <f aca="false">(A420-$A$2)*86400</f>
        <v>442.502999911</v>
      </c>
      <c r="O420" s="3" t="n">
        <f aca="false">D420*0.3048</f>
        <v>45.01896</v>
      </c>
      <c r="P420" s="3" t="n">
        <f aca="false">E420*0.44704</f>
        <v>3.173984</v>
      </c>
      <c r="Q420" s="3" t="n">
        <f aca="false">F420*0.44704</f>
        <v>2.816352</v>
      </c>
    </row>
    <row r="421" customFormat="false" ht="15" hidden="false" customHeight="false" outlineLevel="0" collapsed="false">
      <c r="A421" s="8" t="n">
        <v>46315.8965180556</v>
      </c>
      <c r="B421" s="3" t="s">
        <v>449</v>
      </c>
      <c r="C421" s="0" t="n">
        <v>2</v>
      </c>
      <c r="D421" s="0" t="n">
        <v>147.7</v>
      </c>
      <c r="E421" s="0" t="n">
        <v>4.8</v>
      </c>
      <c r="F421" s="0" t="n">
        <v>4.3</v>
      </c>
      <c r="G421" s="0" t="n">
        <v>0</v>
      </c>
      <c r="H421" s="0" t="n">
        <v>0</v>
      </c>
      <c r="I421" s="0" t="n">
        <v>11.9</v>
      </c>
      <c r="J421" s="0" t="n">
        <v>277</v>
      </c>
      <c r="K421" s="0" t="n">
        <v>-35.3630996</v>
      </c>
      <c r="L421" s="0" t="n">
        <v>149.1638257</v>
      </c>
      <c r="M421" s="0" t="n">
        <v>428.2</v>
      </c>
      <c r="N421" s="3" t="n">
        <f aca="false">(A421-$A$2)*86400</f>
        <v>445.257999678</v>
      </c>
      <c r="O421" s="3" t="n">
        <f aca="false">D421*0.3048</f>
        <v>45.01896</v>
      </c>
      <c r="P421" s="3" t="n">
        <f aca="false">E421*0.44704</f>
        <v>2.145792</v>
      </c>
      <c r="Q421" s="3" t="n">
        <f aca="false">F421*0.44704</f>
        <v>1.922272</v>
      </c>
    </row>
    <row r="422" customFormat="false" ht="15" hidden="false" customHeight="false" outlineLevel="0" collapsed="false">
      <c r="A422" s="8" t="n">
        <v>46315.8965283796</v>
      </c>
      <c r="B422" s="3" t="s">
        <v>450</v>
      </c>
      <c r="C422" s="0" t="n">
        <v>2</v>
      </c>
      <c r="D422" s="0" t="n">
        <v>147.6</v>
      </c>
      <c r="E422" s="0" t="n">
        <v>2.9</v>
      </c>
      <c r="F422" s="0" t="n">
        <v>2</v>
      </c>
      <c r="G422" s="0" t="n">
        <v>0</v>
      </c>
      <c r="H422" s="0" t="n">
        <v>0</v>
      </c>
      <c r="I422" s="0" t="n">
        <v>9.6</v>
      </c>
      <c r="J422" s="0" t="n">
        <v>277</v>
      </c>
      <c r="K422" s="0" t="n">
        <v>-35.3630974</v>
      </c>
      <c r="L422" s="0" t="n">
        <v>149.1638072</v>
      </c>
      <c r="M422" s="0" t="n">
        <v>430.5</v>
      </c>
      <c r="N422" s="3" t="n">
        <f aca="false">(A422-$A$2)*86400</f>
        <v>446.149999718</v>
      </c>
      <c r="O422" s="3" t="n">
        <f aca="false">D422*0.3048</f>
        <v>44.98848</v>
      </c>
      <c r="P422" s="3" t="n">
        <f aca="false">E422*0.44704</f>
        <v>1.296416</v>
      </c>
      <c r="Q422" s="3" t="n">
        <f aca="false">F422*0.44704</f>
        <v>0.89408</v>
      </c>
    </row>
    <row r="423" customFormat="false" ht="15" hidden="false" customHeight="false" outlineLevel="0" collapsed="false">
      <c r="A423" s="8" t="n">
        <v>46315.8965398032</v>
      </c>
      <c r="B423" s="3" t="s">
        <v>451</v>
      </c>
      <c r="C423" s="0" t="n">
        <v>2</v>
      </c>
      <c r="D423" s="0" t="n">
        <v>147.6</v>
      </c>
      <c r="E423" s="0" t="n">
        <v>2.1</v>
      </c>
      <c r="F423" s="0" t="n">
        <v>1.2</v>
      </c>
      <c r="G423" s="0" t="n">
        <v>0</v>
      </c>
      <c r="H423" s="0" t="n">
        <v>-0.1</v>
      </c>
      <c r="I423" s="0" t="n">
        <v>6.9</v>
      </c>
      <c r="J423" s="0" t="n">
        <v>277</v>
      </c>
      <c r="K423" s="0" t="n">
        <v>-35.3630972</v>
      </c>
      <c r="L423" s="0" t="n">
        <v>149.1638047</v>
      </c>
      <c r="M423" s="0" t="n">
        <v>431.1</v>
      </c>
      <c r="N423" s="3" t="n">
        <f aca="false">(A423-$A$2)*86400</f>
        <v>447.13699962</v>
      </c>
      <c r="O423" s="3" t="n">
        <f aca="false">D423*0.3048</f>
        <v>44.98848</v>
      </c>
      <c r="P423" s="3" t="n">
        <f aca="false">E423*0.44704</f>
        <v>0.938784</v>
      </c>
      <c r="Q423" s="3" t="n">
        <f aca="false">F423*0.44704</f>
        <v>0.536448</v>
      </c>
    </row>
    <row r="424" customFormat="false" ht="15" hidden="false" customHeight="false" outlineLevel="0" collapsed="false">
      <c r="A424" s="8" t="n">
        <v>46315.8965507176</v>
      </c>
      <c r="B424" s="3" t="s">
        <v>452</v>
      </c>
      <c r="C424" s="0" t="n">
        <v>2</v>
      </c>
      <c r="D424" s="0" t="n">
        <v>147.6</v>
      </c>
      <c r="E424" s="0" t="n">
        <v>2.1</v>
      </c>
      <c r="F424" s="0" t="n">
        <v>1.2</v>
      </c>
      <c r="G424" s="0" t="n">
        <v>0</v>
      </c>
      <c r="H424" s="0" t="n">
        <v>-0.1</v>
      </c>
      <c r="I424" s="0" t="n">
        <v>6.9</v>
      </c>
      <c r="J424" s="0" t="n">
        <v>277</v>
      </c>
      <c r="K424" s="0" t="n">
        <v>-35.3630972</v>
      </c>
      <c r="L424" s="0" t="n">
        <v>149.1638047</v>
      </c>
      <c r="M424" s="0" t="n">
        <v>431.1</v>
      </c>
      <c r="N424" s="3" t="n">
        <f aca="false">(A424-$A$2)*86400</f>
        <v>448.079999559</v>
      </c>
      <c r="O424" s="3" t="n">
        <f aca="false">D424*0.3048</f>
        <v>44.98848</v>
      </c>
      <c r="P424" s="3" t="n">
        <f aca="false">E424*0.44704</f>
        <v>0.938784</v>
      </c>
      <c r="Q424" s="3" t="n">
        <f aca="false">F424*0.44704</f>
        <v>0.536448</v>
      </c>
    </row>
    <row r="425" customFormat="false" ht="15" hidden="false" customHeight="false" outlineLevel="0" collapsed="false">
      <c r="A425" s="8" t="n">
        <v>46315.8965613195</v>
      </c>
      <c r="B425" s="3" t="s">
        <v>453</v>
      </c>
      <c r="C425" s="0" t="n">
        <v>2</v>
      </c>
      <c r="D425" s="0" t="n">
        <v>147.6</v>
      </c>
      <c r="E425" s="0" t="n">
        <v>0.9</v>
      </c>
      <c r="F425" s="0" t="n">
        <v>0.7</v>
      </c>
      <c r="G425" s="0" t="n">
        <v>0</v>
      </c>
      <c r="H425" s="0" t="n">
        <v>0</v>
      </c>
      <c r="I425" s="0" t="n">
        <v>4.7</v>
      </c>
      <c r="J425" s="0" t="n">
        <v>277</v>
      </c>
      <c r="K425" s="0" t="n">
        <v>-35.3630968</v>
      </c>
      <c r="L425" s="0" t="n">
        <v>149.1638019</v>
      </c>
      <c r="M425" s="0" t="n">
        <v>431.5</v>
      </c>
      <c r="N425" s="3" t="n">
        <f aca="false">(A425-$A$2)*86400</f>
        <v>448.99600055</v>
      </c>
      <c r="O425" s="3" t="n">
        <f aca="false">D425*0.3048</f>
        <v>44.98848</v>
      </c>
      <c r="P425" s="3" t="n">
        <f aca="false">E425*0.44704</f>
        <v>0.402336</v>
      </c>
      <c r="Q425" s="3" t="n">
        <f aca="false">F425*0.44704</f>
        <v>0.312928</v>
      </c>
    </row>
    <row r="426" customFormat="false" ht="15" hidden="false" customHeight="false" outlineLevel="0" collapsed="false">
      <c r="A426" s="8" t="n">
        <v>46315.8965726736</v>
      </c>
      <c r="B426" s="3" t="s">
        <v>453</v>
      </c>
      <c r="C426" s="0" t="n">
        <v>2</v>
      </c>
      <c r="D426" s="0" t="n">
        <v>147.6</v>
      </c>
      <c r="E426" s="0" t="n">
        <v>0.6</v>
      </c>
      <c r="F426" s="0" t="n">
        <v>0.3</v>
      </c>
      <c r="G426" s="0" t="n">
        <v>0</v>
      </c>
      <c r="H426" s="0" t="n">
        <v>0.1</v>
      </c>
      <c r="I426" s="0" t="n">
        <v>2.9</v>
      </c>
      <c r="J426" s="0" t="n">
        <v>277</v>
      </c>
      <c r="K426" s="0" t="n">
        <v>-35.3630967</v>
      </c>
      <c r="L426" s="0" t="n">
        <v>149.1638012</v>
      </c>
      <c r="M426" s="0" t="n">
        <v>431.6</v>
      </c>
      <c r="N426" s="3" t="n">
        <f aca="false">(A426-$A$2)*86400</f>
        <v>449.977000057</v>
      </c>
      <c r="O426" s="3" t="n">
        <f aca="false">D426*0.3048</f>
        <v>44.98848</v>
      </c>
      <c r="P426" s="3" t="n">
        <f aca="false">E426*0.44704</f>
        <v>0.268224</v>
      </c>
      <c r="Q426" s="3" t="n">
        <f aca="false">F426*0.44704</f>
        <v>0.134112</v>
      </c>
    </row>
    <row r="427" customFormat="false" ht="15" hidden="false" customHeight="false" outlineLevel="0" collapsed="false">
      <c r="A427" s="8" t="n">
        <v>46315.896585</v>
      </c>
      <c r="B427" s="3" t="s">
        <v>454</v>
      </c>
      <c r="C427" s="0" t="n">
        <v>2</v>
      </c>
      <c r="D427" s="0" t="n">
        <v>147.6</v>
      </c>
      <c r="E427" s="0" t="n">
        <v>0.6</v>
      </c>
      <c r="F427" s="0" t="n">
        <v>0.3</v>
      </c>
      <c r="G427" s="0" t="n">
        <v>0</v>
      </c>
      <c r="H427" s="0" t="n">
        <v>0.1</v>
      </c>
      <c r="I427" s="0" t="n">
        <v>2.9</v>
      </c>
      <c r="J427" s="0" t="n">
        <v>277</v>
      </c>
      <c r="K427" s="0" t="n">
        <v>-35.3630967</v>
      </c>
      <c r="L427" s="0" t="n">
        <v>149.1638012</v>
      </c>
      <c r="M427" s="0" t="n">
        <v>431.6</v>
      </c>
      <c r="N427" s="3" t="n">
        <f aca="false">(A427-$A$2)*86400</f>
        <v>451.042000064</v>
      </c>
      <c r="O427" s="3" t="n">
        <f aca="false">D427*0.3048</f>
        <v>44.98848</v>
      </c>
      <c r="P427" s="3" t="n">
        <f aca="false">E427*0.44704</f>
        <v>0.268224</v>
      </c>
      <c r="Q427" s="3" t="n">
        <f aca="false">F427*0.44704</f>
        <v>0.134112</v>
      </c>
    </row>
    <row r="428" customFormat="false" ht="15" hidden="false" customHeight="false" outlineLevel="0" collapsed="false">
      <c r="A428" s="8" t="n">
        <v>46315.8965959838</v>
      </c>
      <c r="B428" s="3" t="s">
        <v>455</v>
      </c>
      <c r="C428" s="0" t="n">
        <v>2</v>
      </c>
      <c r="D428" s="0" t="n">
        <v>147.6</v>
      </c>
      <c r="E428" s="0" t="n">
        <v>0.3</v>
      </c>
      <c r="F428" s="0" t="n">
        <v>0.1</v>
      </c>
      <c r="G428" s="0" t="n">
        <v>0</v>
      </c>
      <c r="H428" s="0" t="n">
        <v>0</v>
      </c>
      <c r="I428" s="0" t="n">
        <v>1.4</v>
      </c>
      <c r="J428" s="0" t="n">
        <v>278</v>
      </c>
      <c r="K428" s="0" t="n">
        <v>-35.3630967</v>
      </c>
      <c r="L428" s="0" t="n">
        <v>149.1638008</v>
      </c>
      <c r="M428" s="0" t="n">
        <v>431.7</v>
      </c>
      <c r="N428" s="3" t="n">
        <f aca="false">(A428-$A$2)*86400</f>
        <v>451.991000398</v>
      </c>
      <c r="O428" s="3" t="n">
        <f aca="false">D428*0.3048</f>
        <v>44.98848</v>
      </c>
      <c r="P428" s="3" t="n">
        <f aca="false">E428*0.44704</f>
        <v>0.134112</v>
      </c>
      <c r="Q428" s="3" t="n">
        <f aca="false">F428*0.44704</f>
        <v>0.044704</v>
      </c>
    </row>
    <row r="429" customFormat="false" ht="15" hidden="false" customHeight="false" outlineLevel="0" collapsed="false">
      <c r="A429" s="8" t="n">
        <v>46315.8966074306</v>
      </c>
      <c r="B429" s="3" t="s">
        <v>456</v>
      </c>
      <c r="C429" s="0" t="n">
        <v>2</v>
      </c>
      <c r="D429" s="0" t="n">
        <v>147.6</v>
      </c>
      <c r="E429" s="0" t="n">
        <v>0.1</v>
      </c>
      <c r="F429" s="0" t="n">
        <v>0</v>
      </c>
      <c r="G429" s="0" t="n">
        <v>0</v>
      </c>
      <c r="H429" s="0" t="n">
        <v>0</v>
      </c>
      <c r="I429" s="0" t="n">
        <v>0.3</v>
      </c>
      <c r="J429" s="0" t="n">
        <v>278</v>
      </c>
      <c r="K429" s="0" t="n">
        <v>-35.3630967</v>
      </c>
      <c r="L429" s="0" t="n">
        <v>149.1638006</v>
      </c>
      <c r="M429" s="0" t="n">
        <v>431.8</v>
      </c>
      <c r="N429" s="3" t="n">
        <f aca="false">(A429-$A$2)*86400</f>
        <v>452.980000013</v>
      </c>
      <c r="O429" s="3" t="n">
        <f aca="false">D429*0.3048</f>
        <v>44.98848</v>
      </c>
      <c r="P429" s="3" t="n">
        <f aca="false">E429*0.44704</f>
        <v>0.044704</v>
      </c>
      <c r="Q429" s="3" t="n">
        <f aca="false">F429*0.44704</f>
        <v>0</v>
      </c>
    </row>
    <row r="430" customFormat="false" ht="15" hidden="false" customHeight="false" outlineLevel="0" collapsed="false">
      <c r="A430" s="8" t="n">
        <v>46315.8966197685</v>
      </c>
      <c r="B430" s="3" t="s">
        <v>457</v>
      </c>
      <c r="C430" s="0" t="n">
        <v>2</v>
      </c>
      <c r="D430" s="0" t="n">
        <v>147.6</v>
      </c>
      <c r="E430" s="0" t="n">
        <v>0</v>
      </c>
      <c r="F430" s="0" t="n">
        <v>0</v>
      </c>
      <c r="G430" s="0" t="n">
        <v>0</v>
      </c>
      <c r="H430" s="0" t="n">
        <v>0</v>
      </c>
      <c r="I430" s="0" t="n">
        <v>-0.6</v>
      </c>
      <c r="J430" s="0" t="n">
        <v>278</v>
      </c>
      <c r="K430" s="0" t="n">
        <v>-35.3630967</v>
      </c>
      <c r="L430" s="0" t="n">
        <v>149.1638004</v>
      </c>
      <c r="M430" s="0" t="n">
        <v>431.8</v>
      </c>
      <c r="N430" s="3" t="n">
        <f aca="false">(A430-$A$2)*86400</f>
        <v>454.045998933</v>
      </c>
      <c r="O430" s="3" t="n">
        <f aca="false">D430*0.3048</f>
        <v>44.98848</v>
      </c>
      <c r="P430" s="3" t="n">
        <f aca="false">E430*0.44704</f>
        <v>0</v>
      </c>
      <c r="Q430" s="3" t="n">
        <f aca="false">F430*0.44704</f>
        <v>0</v>
      </c>
    </row>
    <row r="431" customFormat="false" ht="15" hidden="false" customHeight="false" outlineLevel="0" collapsed="false">
      <c r="A431" s="8" t="n">
        <v>46315.896630463</v>
      </c>
      <c r="B431" s="3" t="s">
        <v>457</v>
      </c>
      <c r="C431" s="0" t="n">
        <v>2</v>
      </c>
      <c r="D431" s="0" t="n">
        <v>147.6</v>
      </c>
      <c r="E431" s="0" t="n">
        <v>0</v>
      </c>
      <c r="F431" s="0" t="n">
        <v>0</v>
      </c>
      <c r="G431" s="0" t="n">
        <v>0</v>
      </c>
      <c r="H431" s="0" t="n">
        <v>0</v>
      </c>
      <c r="I431" s="0" t="n">
        <v>-0.6</v>
      </c>
      <c r="J431" s="0" t="n">
        <v>278</v>
      </c>
      <c r="K431" s="0" t="n">
        <v>-35.3630967</v>
      </c>
      <c r="L431" s="0" t="n">
        <v>149.1638004</v>
      </c>
      <c r="M431" s="0" t="n">
        <v>431.8</v>
      </c>
      <c r="N431" s="3" t="n">
        <f aca="false">(A431-$A$2)*86400</f>
        <v>454.969999403</v>
      </c>
      <c r="O431" s="3" t="n">
        <f aca="false">D431*0.3048</f>
        <v>44.98848</v>
      </c>
      <c r="P431" s="3" t="n">
        <f aca="false">E431*0.44704</f>
        <v>0</v>
      </c>
      <c r="Q431" s="3" t="n">
        <f aca="false">F431*0.44704</f>
        <v>0</v>
      </c>
    </row>
    <row r="432" customFormat="false" ht="15" hidden="false" customHeight="false" outlineLevel="0" collapsed="false">
      <c r="A432" s="8" t="n">
        <v>46315.8966424306</v>
      </c>
      <c r="B432" s="3" t="s">
        <v>458</v>
      </c>
      <c r="C432" s="0" t="n">
        <v>2</v>
      </c>
      <c r="D432" s="0" t="n">
        <v>147.6</v>
      </c>
      <c r="E432" s="0" t="n">
        <v>0.1</v>
      </c>
      <c r="F432" s="0" t="n">
        <v>0.1</v>
      </c>
      <c r="G432" s="0" t="n">
        <v>0</v>
      </c>
      <c r="H432" s="0" t="n">
        <v>0</v>
      </c>
      <c r="I432" s="0" t="n">
        <v>-1.1</v>
      </c>
      <c r="J432" s="0" t="n">
        <v>278</v>
      </c>
      <c r="K432" s="0" t="n">
        <v>-35.3630967</v>
      </c>
      <c r="L432" s="0" t="n">
        <v>149.1638003</v>
      </c>
      <c r="M432" s="0" t="n">
        <v>431.8</v>
      </c>
      <c r="N432" s="3" t="n">
        <f aca="false">(A432-$A$2)*86400</f>
        <v>456.003999151</v>
      </c>
      <c r="O432" s="3" t="n">
        <f aca="false">D432*0.3048</f>
        <v>44.98848</v>
      </c>
      <c r="P432" s="3" t="n">
        <f aca="false">E432*0.44704</f>
        <v>0.044704</v>
      </c>
      <c r="Q432" s="3" t="n">
        <f aca="false">F432*0.44704</f>
        <v>0.044704</v>
      </c>
    </row>
    <row r="433" customFormat="false" ht="15" hidden="false" customHeight="false" outlineLevel="0" collapsed="false">
      <c r="A433" s="8" t="n">
        <v>46315.8966540741</v>
      </c>
      <c r="B433" s="3" t="s">
        <v>459</v>
      </c>
      <c r="C433" s="0" t="n">
        <v>3</v>
      </c>
      <c r="D433" s="0" t="n">
        <v>147.6</v>
      </c>
      <c r="E433" s="0" t="n">
        <v>0.1</v>
      </c>
      <c r="F433" s="0" t="n">
        <v>0.2</v>
      </c>
      <c r="G433" s="0" t="n">
        <v>0</v>
      </c>
      <c r="H433" s="0" t="n">
        <v>-0.1</v>
      </c>
      <c r="I433" s="0" t="n">
        <v>-1.2</v>
      </c>
      <c r="J433" s="0" t="n">
        <v>278</v>
      </c>
      <c r="K433" s="0" t="n">
        <v>-35.3630966</v>
      </c>
      <c r="L433" s="0" t="n">
        <v>149.1638003</v>
      </c>
      <c r="M433" s="0" t="n">
        <v>431.8</v>
      </c>
      <c r="N433" s="3" t="n">
        <f aca="false">(A433-$A$2)*86400</f>
        <v>457.009999779</v>
      </c>
      <c r="O433" s="3" t="n">
        <f aca="false">D433*0.3048</f>
        <v>44.98848</v>
      </c>
      <c r="P433" s="3" t="n">
        <f aca="false">E433*0.44704</f>
        <v>0.044704</v>
      </c>
      <c r="Q433" s="3" t="n">
        <f aca="false">F433*0.44704</f>
        <v>0.089408</v>
      </c>
    </row>
    <row r="434" customFormat="false" ht="15" hidden="false" customHeight="false" outlineLevel="0" collapsed="false">
      <c r="A434" s="8" t="n">
        <v>46315.8966663889</v>
      </c>
      <c r="B434" s="3" t="s">
        <v>460</v>
      </c>
      <c r="C434" s="0" t="n">
        <v>3</v>
      </c>
      <c r="D434" s="0" t="n">
        <v>147.6</v>
      </c>
      <c r="E434" s="0" t="n">
        <v>0.2</v>
      </c>
      <c r="F434" s="0" t="n">
        <v>0.3</v>
      </c>
      <c r="G434" s="0" t="n">
        <v>0</v>
      </c>
      <c r="H434" s="0" t="n">
        <v>0</v>
      </c>
      <c r="I434" s="0" t="n">
        <v>-0.4</v>
      </c>
      <c r="J434" s="0" t="n">
        <v>278</v>
      </c>
      <c r="K434" s="0" t="n">
        <v>-35.3630966</v>
      </c>
      <c r="L434" s="0" t="n">
        <v>149.1638001</v>
      </c>
      <c r="M434" s="0" t="n">
        <v>431.9</v>
      </c>
      <c r="N434" s="3" t="n">
        <f aca="false">(A434-$A$2)*86400</f>
        <v>458.074000244</v>
      </c>
      <c r="O434" s="3" t="n">
        <f aca="false">D434*0.3048</f>
        <v>44.98848</v>
      </c>
      <c r="P434" s="3" t="n">
        <f aca="false">E434*0.44704</f>
        <v>0.089408</v>
      </c>
      <c r="Q434" s="3" t="n">
        <f aca="false">F434*0.44704</f>
        <v>0.134112</v>
      </c>
    </row>
    <row r="435" customFormat="false" ht="15" hidden="false" customHeight="false" outlineLevel="0" collapsed="false">
      <c r="A435" s="8" t="n">
        <v>46315.8966770718</v>
      </c>
      <c r="B435" s="3" t="s">
        <v>460</v>
      </c>
      <c r="C435" s="0" t="n">
        <v>3</v>
      </c>
      <c r="D435" s="0" t="n">
        <v>147.6</v>
      </c>
      <c r="E435" s="0" t="n">
        <v>0.2</v>
      </c>
      <c r="F435" s="0" t="n">
        <v>0.3</v>
      </c>
      <c r="G435" s="0" t="n">
        <v>0</v>
      </c>
      <c r="H435" s="0" t="n">
        <v>0</v>
      </c>
      <c r="I435" s="0" t="n">
        <v>-0.4</v>
      </c>
      <c r="J435" s="0" t="n">
        <v>278</v>
      </c>
      <c r="K435" s="0" t="n">
        <v>-35.3630966</v>
      </c>
      <c r="L435" s="0" t="n">
        <v>149.1638001</v>
      </c>
      <c r="M435" s="0" t="n">
        <v>431.9</v>
      </c>
      <c r="N435" s="3" t="n">
        <f aca="false">(A435-$A$2)*86400</f>
        <v>458.996999915</v>
      </c>
      <c r="O435" s="3" t="n">
        <f aca="false">D435*0.3048</f>
        <v>44.98848</v>
      </c>
      <c r="P435" s="3" t="n">
        <f aca="false">E435*0.44704</f>
        <v>0.089408</v>
      </c>
      <c r="Q435" s="3" t="n">
        <f aca="false">F435*0.44704</f>
        <v>0.134112</v>
      </c>
    </row>
    <row r="436" customFormat="false" ht="15" hidden="false" customHeight="false" outlineLevel="0" collapsed="false">
      <c r="A436" s="8" t="n">
        <v>46315.8966889236</v>
      </c>
      <c r="B436" s="3" t="s">
        <v>461</v>
      </c>
      <c r="C436" s="0" t="n">
        <v>3</v>
      </c>
      <c r="D436" s="0" t="n">
        <v>147.6</v>
      </c>
      <c r="E436" s="0" t="n">
        <v>0.3</v>
      </c>
      <c r="F436" s="0" t="n">
        <v>0.3</v>
      </c>
      <c r="G436" s="0" t="n">
        <v>0</v>
      </c>
      <c r="H436" s="0" t="n">
        <v>0</v>
      </c>
      <c r="I436" s="0" t="n">
        <v>0.3</v>
      </c>
      <c r="J436" s="0" t="n">
        <v>278</v>
      </c>
      <c r="K436" s="0" t="n">
        <v>-35.3630965</v>
      </c>
      <c r="L436" s="0" t="n">
        <v>149.1637995</v>
      </c>
      <c r="M436" s="0" t="n">
        <v>432.1</v>
      </c>
      <c r="N436" s="3" t="n">
        <f aca="false">(A436-$A$2)*86400</f>
        <v>460.020999843</v>
      </c>
      <c r="O436" s="3" t="n">
        <f aca="false">D436*0.3048</f>
        <v>44.98848</v>
      </c>
      <c r="P436" s="3" t="n">
        <f aca="false">E436*0.44704</f>
        <v>0.134112</v>
      </c>
      <c r="Q436" s="3" t="n">
        <f aca="false">F436*0.44704</f>
        <v>0.134112</v>
      </c>
    </row>
    <row r="437" customFormat="false" ht="15" hidden="false" customHeight="false" outlineLevel="0" collapsed="false">
      <c r="A437" s="8" t="n">
        <v>46315.8967</v>
      </c>
      <c r="B437" s="3" t="s">
        <v>462</v>
      </c>
      <c r="C437" s="0" t="n">
        <v>3</v>
      </c>
      <c r="D437" s="0" t="n">
        <v>147.6</v>
      </c>
      <c r="E437" s="0" t="n">
        <v>0.3</v>
      </c>
      <c r="F437" s="0" t="n">
        <v>0.3</v>
      </c>
      <c r="G437" s="0" t="n">
        <v>0</v>
      </c>
      <c r="H437" s="0" t="n">
        <v>0</v>
      </c>
      <c r="I437" s="0" t="n">
        <v>0.7</v>
      </c>
      <c r="J437" s="0" t="n">
        <v>278</v>
      </c>
      <c r="K437" s="0" t="n">
        <v>-35.3630965</v>
      </c>
      <c r="L437" s="0" t="n">
        <v>149.1637992</v>
      </c>
      <c r="M437" s="0" t="n">
        <v>432.2</v>
      </c>
      <c r="N437" s="3" t="n">
        <f aca="false">(A437-$A$2)*86400</f>
        <v>460.977999656</v>
      </c>
      <c r="O437" s="3" t="n">
        <f aca="false">D437*0.3048</f>
        <v>44.98848</v>
      </c>
      <c r="P437" s="3" t="n">
        <f aca="false">E437*0.44704</f>
        <v>0.134112</v>
      </c>
      <c r="Q437" s="3" t="n">
        <f aca="false">F437*0.44704</f>
        <v>0.134112</v>
      </c>
    </row>
    <row r="438" customFormat="false" ht="15" hidden="false" customHeight="false" outlineLevel="0" collapsed="false">
      <c r="A438" s="8" t="n">
        <v>46315.8967123727</v>
      </c>
      <c r="B438" s="3" t="s">
        <v>463</v>
      </c>
      <c r="C438" s="0" t="n">
        <v>3</v>
      </c>
      <c r="D438" s="0" t="n">
        <v>147.6</v>
      </c>
      <c r="E438" s="0" t="n">
        <v>0.3</v>
      </c>
      <c r="F438" s="0" t="n">
        <v>0.3</v>
      </c>
      <c r="G438" s="0" t="n">
        <v>0</v>
      </c>
      <c r="H438" s="0" t="n">
        <v>0</v>
      </c>
      <c r="I438" s="0" t="n">
        <v>0.7</v>
      </c>
      <c r="J438" s="0" t="n">
        <v>278</v>
      </c>
      <c r="K438" s="0" t="n">
        <v>-35.3630965</v>
      </c>
      <c r="L438" s="0" t="n">
        <v>149.1637992</v>
      </c>
      <c r="M438" s="0" t="n">
        <v>432.2</v>
      </c>
      <c r="N438" s="3" t="n">
        <f aca="false">(A438-$A$2)*86400</f>
        <v>462.046999717</v>
      </c>
      <c r="O438" s="3" t="n">
        <f aca="false">D438*0.3048</f>
        <v>44.98848</v>
      </c>
      <c r="P438" s="3" t="n">
        <f aca="false">E438*0.44704</f>
        <v>0.134112</v>
      </c>
      <c r="Q438" s="3" t="n">
        <f aca="false">F438*0.44704</f>
        <v>0.134112</v>
      </c>
    </row>
    <row r="439" customFormat="false" ht="15" hidden="false" customHeight="false" outlineLevel="0" collapsed="false">
      <c r="A439" s="8" t="n">
        <v>46315.8967228588</v>
      </c>
      <c r="B439" s="3" t="s">
        <v>464</v>
      </c>
      <c r="C439" s="0" t="n">
        <v>3</v>
      </c>
      <c r="D439" s="0" t="n">
        <v>147.6</v>
      </c>
      <c r="E439" s="0" t="n">
        <v>0.3</v>
      </c>
      <c r="F439" s="0" t="n">
        <v>0.2</v>
      </c>
      <c r="G439" s="0" t="n">
        <v>0</v>
      </c>
      <c r="H439" s="0" t="n">
        <v>0</v>
      </c>
      <c r="I439" s="0" t="n">
        <v>0.9</v>
      </c>
      <c r="J439" s="0" t="n">
        <v>278</v>
      </c>
      <c r="K439" s="0" t="n">
        <v>-35.3630965</v>
      </c>
      <c r="L439" s="0" t="n">
        <v>149.1637989</v>
      </c>
      <c r="M439" s="0" t="n">
        <v>432.3</v>
      </c>
      <c r="N439" s="3" t="n">
        <f aca="false">(A439-$A$2)*86400</f>
        <v>462.95299963</v>
      </c>
      <c r="O439" s="3" t="n">
        <f aca="false">D439*0.3048</f>
        <v>44.98848</v>
      </c>
      <c r="P439" s="3" t="n">
        <f aca="false">E439*0.44704</f>
        <v>0.134112</v>
      </c>
      <c r="Q439" s="3" t="n">
        <f aca="false">F439*0.44704</f>
        <v>0.089408</v>
      </c>
    </row>
    <row r="440" customFormat="false" ht="15" hidden="false" customHeight="false" outlineLevel="0" collapsed="false">
      <c r="A440" s="8" t="n">
        <v>46315.8967345255</v>
      </c>
      <c r="B440" s="3" t="s">
        <v>465</v>
      </c>
      <c r="C440" s="0" t="n">
        <v>3</v>
      </c>
      <c r="D440" s="0" t="n">
        <v>147.6</v>
      </c>
      <c r="E440" s="0" t="n">
        <v>0.2</v>
      </c>
      <c r="F440" s="0" t="n">
        <v>0.1</v>
      </c>
      <c r="G440" s="0" t="n">
        <v>0</v>
      </c>
      <c r="H440" s="0" t="n">
        <v>-0.2</v>
      </c>
      <c r="I440" s="0" t="n">
        <v>0.9</v>
      </c>
      <c r="J440" s="0" t="n">
        <v>278</v>
      </c>
      <c r="K440" s="0" t="n">
        <v>-35.3630964</v>
      </c>
      <c r="L440" s="0" t="n">
        <v>149.1637987</v>
      </c>
      <c r="M440" s="0" t="n">
        <v>432.4</v>
      </c>
      <c r="N440" s="3" t="n">
        <f aca="false">(A440-$A$2)*86400</f>
        <v>463.960999343</v>
      </c>
      <c r="O440" s="3" t="n">
        <f aca="false">D440*0.3048</f>
        <v>44.98848</v>
      </c>
      <c r="P440" s="3" t="n">
        <f aca="false">E440*0.44704</f>
        <v>0.089408</v>
      </c>
      <c r="Q440" s="3" t="n">
        <f aca="false">F440*0.44704</f>
        <v>0.044704</v>
      </c>
    </row>
    <row r="441" customFormat="false" ht="15" hidden="false" customHeight="false" outlineLevel="0" collapsed="false">
      <c r="A441" s="8" t="n">
        <v>46315.8967457407</v>
      </c>
      <c r="B441" s="3" t="s">
        <v>466</v>
      </c>
      <c r="C441" s="0" t="n">
        <v>3</v>
      </c>
      <c r="D441" s="0" t="n">
        <v>147.6</v>
      </c>
      <c r="E441" s="0" t="n">
        <v>0.1</v>
      </c>
      <c r="F441" s="0" t="n">
        <v>0</v>
      </c>
      <c r="G441" s="0" t="n">
        <v>-0.1</v>
      </c>
      <c r="H441" s="0" t="n">
        <v>-0.1</v>
      </c>
      <c r="I441" s="0" t="n">
        <v>0.8</v>
      </c>
      <c r="J441" s="0" t="n">
        <v>278</v>
      </c>
      <c r="K441" s="0" t="n">
        <v>-35.3630963</v>
      </c>
      <c r="L441" s="0" t="n">
        <v>149.1637984</v>
      </c>
      <c r="M441" s="0" t="n">
        <v>432.4</v>
      </c>
      <c r="N441" s="3" t="n">
        <f aca="false">(A441-$A$2)*86400</f>
        <v>464.929999946</v>
      </c>
      <c r="O441" s="3" t="n">
        <f aca="false">D441*0.3048</f>
        <v>44.98848</v>
      </c>
      <c r="P441" s="3" t="n">
        <f aca="false">E441*0.44704</f>
        <v>0.044704</v>
      </c>
      <c r="Q441" s="3" t="n">
        <f aca="false">F441*0.44704</f>
        <v>0</v>
      </c>
    </row>
    <row r="442" customFormat="false" ht="15" hidden="false" customHeight="false" outlineLevel="0" collapsed="false">
      <c r="A442" s="8" t="n">
        <v>46315.8967573611</v>
      </c>
      <c r="B442" s="3" t="s">
        <v>467</v>
      </c>
      <c r="C442" s="0" t="n">
        <v>3</v>
      </c>
      <c r="D442" s="0" t="n">
        <v>147.4</v>
      </c>
      <c r="E442" s="0" t="n">
        <v>0</v>
      </c>
      <c r="F442" s="0" t="n">
        <v>0</v>
      </c>
      <c r="G442" s="0" t="n">
        <v>-0.6</v>
      </c>
      <c r="H442" s="0" t="n">
        <v>-0.1</v>
      </c>
      <c r="I442" s="0" t="n">
        <v>0.6</v>
      </c>
      <c r="J442" s="0" t="n">
        <v>278</v>
      </c>
      <c r="K442" s="0" t="n">
        <v>-35.3630963</v>
      </c>
      <c r="L442" s="0" t="n">
        <v>149.1637984</v>
      </c>
      <c r="M442" s="0" t="n">
        <v>432.4</v>
      </c>
      <c r="N442" s="3" t="n">
        <f aca="false">(A442-$A$2)*86400</f>
        <v>465.933999605</v>
      </c>
      <c r="O442" s="3" t="n">
        <f aca="false">D442*0.3048</f>
        <v>44.92752</v>
      </c>
      <c r="P442" s="3" t="n">
        <f aca="false">E442*0.44704</f>
        <v>0</v>
      </c>
      <c r="Q442" s="3" t="n">
        <f aca="false">F442*0.44704</f>
        <v>0</v>
      </c>
    </row>
    <row r="443" customFormat="false" ht="15" hidden="false" customHeight="false" outlineLevel="0" collapsed="false">
      <c r="A443" s="8" t="n">
        <v>46315.8967691551</v>
      </c>
      <c r="B443" s="3" t="s">
        <v>468</v>
      </c>
      <c r="C443" s="0" t="n">
        <v>3</v>
      </c>
      <c r="D443" s="0" t="n">
        <v>147.1</v>
      </c>
      <c r="E443" s="0" t="n">
        <v>0.1</v>
      </c>
      <c r="F443" s="0" t="n">
        <v>0.1</v>
      </c>
      <c r="G443" s="0" t="n">
        <v>-1.2</v>
      </c>
      <c r="H443" s="0" t="n">
        <v>0</v>
      </c>
      <c r="I443" s="0" t="n">
        <v>0.4</v>
      </c>
      <c r="J443" s="0" t="n">
        <v>278</v>
      </c>
      <c r="K443" s="0" t="n">
        <v>-35.3630963</v>
      </c>
      <c r="L443" s="0" t="n">
        <v>149.1637984</v>
      </c>
      <c r="M443" s="0" t="n">
        <v>432.4</v>
      </c>
      <c r="N443" s="3" t="n">
        <f aca="false">(A443-$A$2)*86400</f>
        <v>466.952999937</v>
      </c>
      <c r="O443" s="3" t="n">
        <f aca="false">D443*0.3048</f>
        <v>44.83608</v>
      </c>
      <c r="P443" s="3" t="n">
        <f aca="false">E443*0.44704</f>
        <v>0.044704</v>
      </c>
      <c r="Q443" s="3" t="n">
        <f aca="false">F443*0.44704</f>
        <v>0.044704</v>
      </c>
    </row>
    <row r="444" customFormat="false" ht="15" hidden="false" customHeight="false" outlineLevel="0" collapsed="false">
      <c r="A444" s="8" t="n">
        <v>46315.896780625</v>
      </c>
      <c r="B444" s="3" t="s">
        <v>469</v>
      </c>
      <c r="C444" s="0" t="n">
        <v>3</v>
      </c>
      <c r="D444" s="0" t="n">
        <v>146.6</v>
      </c>
      <c r="E444" s="0" t="n">
        <v>0.1</v>
      </c>
      <c r="F444" s="0" t="n">
        <v>0.1</v>
      </c>
      <c r="G444" s="0" t="n">
        <v>-1.8</v>
      </c>
      <c r="H444" s="0" t="n">
        <v>0</v>
      </c>
      <c r="I444" s="0" t="n">
        <v>0.1</v>
      </c>
      <c r="J444" s="0" t="n">
        <v>278</v>
      </c>
      <c r="K444" s="0" t="n">
        <v>-35.3630963</v>
      </c>
      <c r="L444" s="0" t="n">
        <v>149.1637985</v>
      </c>
      <c r="M444" s="0" t="n">
        <v>432.3</v>
      </c>
      <c r="N444" s="3" t="n">
        <f aca="false">(A444-$A$2)*86400</f>
        <v>467.943999893</v>
      </c>
      <c r="O444" s="3" t="n">
        <f aca="false">D444*0.3048</f>
        <v>44.68368</v>
      </c>
      <c r="P444" s="3" t="n">
        <f aca="false">E444*0.44704</f>
        <v>0.044704</v>
      </c>
      <c r="Q444" s="3" t="n">
        <f aca="false">F444*0.44704</f>
        <v>0.044704</v>
      </c>
    </row>
    <row r="445" customFormat="false" ht="15" hidden="false" customHeight="false" outlineLevel="0" collapsed="false">
      <c r="A445" s="8" t="n">
        <v>46315.8967922338</v>
      </c>
      <c r="B445" s="3" t="s">
        <v>470</v>
      </c>
      <c r="C445" s="0" t="n">
        <v>3</v>
      </c>
      <c r="D445" s="0" t="n">
        <v>145.8</v>
      </c>
      <c r="E445" s="0" t="n">
        <v>0.1</v>
      </c>
      <c r="F445" s="0" t="n">
        <v>0.1</v>
      </c>
      <c r="G445" s="0" t="n">
        <v>-2.4</v>
      </c>
      <c r="H445" s="0" t="n">
        <v>0.2</v>
      </c>
      <c r="I445" s="0" t="n">
        <v>0</v>
      </c>
      <c r="J445" s="0" t="n">
        <v>278</v>
      </c>
      <c r="K445" s="0" t="n">
        <v>-35.3630965</v>
      </c>
      <c r="L445" s="0" t="n">
        <v>149.1637986</v>
      </c>
      <c r="M445" s="0" t="n">
        <v>432.3</v>
      </c>
      <c r="N445" s="3" t="n">
        <f aca="false">(A445-$A$2)*86400</f>
        <v>468.947000009</v>
      </c>
      <c r="O445" s="3" t="n">
        <f aca="false">D445*0.3048</f>
        <v>44.43984</v>
      </c>
      <c r="P445" s="3" t="n">
        <f aca="false">E445*0.44704</f>
        <v>0.044704</v>
      </c>
      <c r="Q445" s="3" t="n">
        <f aca="false">F445*0.44704</f>
        <v>0.044704</v>
      </c>
    </row>
    <row r="446" customFormat="false" ht="15" hidden="false" customHeight="false" outlineLevel="0" collapsed="false">
      <c r="A446" s="8" t="n">
        <v>46315.8968037384</v>
      </c>
      <c r="B446" s="3" t="s">
        <v>471</v>
      </c>
      <c r="C446" s="0" t="n">
        <v>3</v>
      </c>
      <c r="D446" s="0" t="n">
        <v>144.8</v>
      </c>
      <c r="E446" s="0" t="n">
        <v>0.1</v>
      </c>
      <c r="F446" s="0" t="n">
        <v>0.1</v>
      </c>
      <c r="G446" s="0" t="n">
        <v>-3</v>
      </c>
      <c r="H446" s="0" t="n">
        <v>0.2</v>
      </c>
      <c r="I446" s="0" t="n">
        <v>-0.1</v>
      </c>
      <c r="J446" s="0" t="n">
        <v>278</v>
      </c>
      <c r="K446" s="0" t="n">
        <v>-35.3630965</v>
      </c>
      <c r="L446" s="0" t="n">
        <v>149.1637987</v>
      </c>
      <c r="M446" s="0" t="n">
        <v>432.2</v>
      </c>
      <c r="N446" s="3" t="n">
        <f aca="false">(A446-$A$2)*86400</f>
        <v>469.941000477</v>
      </c>
      <c r="O446" s="3" t="n">
        <f aca="false">D446*0.3048</f>
        <v>44.13504</v>
      </c>
      <c r="P446" s="3" t="n">
        <f aca="false">E446*0.44704</f>
        <v>0.044704</v>
      </c>
      <c r="Q446" s="3" t="n">
        <f aca="false">F446*0.44704</f>
        <v>0.044704</v>
      </c>
    </row>
    <row r="447" customFormat="false" ht="15" hidden="false" customHeight="false" outlineLevel="0" collapsed="false">
      <c r="A447" s="8" t="n">
        <v>46315.8968156134</v>
      </c>
      <c r="B447" s="3" t="s">
        <v>472</v>
      </c>
      <c r="C447" s="0" t="n">
        <v>3</v>
      </c>
      <c r="D447" s="0" t="n">
        <v>143.6</v>
      </c>
      <c r="E447" s="0" t="n">
        <v>0.1</v>
      </c>
      <c r="F447" s="0" t="n">
        <v>0.1</v>
      </c>
      <c r="G447" s="0" t="n">
        <v>-3.4</v>
      </c>
      <c r="H447" s="0" t="n">
        <v>0.2</v>
      </c>
      <c r="I447" s="0" t="n">
        <v>-0.2</v>
      </c>
      <c r="J447" s="0" t="n">
        <v>278</v>
      </c>
      <c r="K447" s="0" t="n">
        <v>-35.3630965</v>
      </c>
      <c r="L447" s="0" t="n">
        <v>149.1637987</v>
      </c>
      <c r="M447" s="0" t="n">
        <v>432.2</v>
      </c>
      <c r="N447" s="3" t="n">
        <f aca="false">(A447-$A$2)*86400</f>
        <v>470.967000117</v>
      </c>
      <c r="O447" s="3" t="n">
        <f aca="false">D447*0.3048</f>
        <v>43.76928</v>
      </c>
      <c r="P447" s="3" t="n">
        <f aca="false">E447*0.44704</f>
        <v>0.044704</v>
      </c>
      <c r="Q447" s="3" t="n">
        <f aca="false">F447*0.44704</f>
        <v>0.044704</v>
      </c>
    </row>
    <row r="448" customFormat="false" ht="15" hidden="false" customHeight="false" outlineLevel="0" collapsed="false">
      <c r="A448" s="8" t="n">
        <v>46315.8968270486</v>
      </c>
      <c r="B448" s="3" t="s">
        <v>473</v>
      </c>
      <c r="C448" s="0" t="n">
        <v>3</v>
      </c>
      <c r="D448" s="0" t="n">
        <v>143.6</v>
      </c>
      <c r="E448" s="0" t="n">
        <v>0.1</v>
      </c>
      <c r="F448" s="0" t="n">
        <v>0.1</v>
      </c>
      <c r="G448" s="0" t="n">
        <v>-3.4</v>
      </c>
      <c r="H448" s="0" t="n">
        <v>0.2</v>
      </c>
      <c r="I448" s="0" t="n">
        <v>-0.2</v>
      </c>
      <c r="J448" s="0" t="n">
        <v>278</v>
      </c>
      <c r="K448" s="0" t="n">
        <v>-35.3630965</v>
      </c>
      <c r="L448" s="0" t="n">
        <v>149.1637987</v>
      </c>
      <c r="M448" s="0" t="n">
        <v>432.2</v>
      </c>
      <c r="N448" s="3" t="n">
        <f aca="false">(A448-$A$2)*86400</f>
        <v>471.954999561</v>
      </c>
      <c r="O448" s="3" t="n">
        <f aca="false">D448*0.3048</f>
        <v>43.76928</v>
      </c>
      <c r="P448" s="3" t="n">
        <f aca="false">E448*0.44704</f>
        <v>0.044704</v>
      </c>
      <c r="Q448" s="3" t="n">
        <f aca="false">F448*0.44704</f>
        <v>0.044704</v>
      </c>
    </row>
    <row r="449" customFormat="false" ht="15" hidden="false" customHeight="false" outlineLevel="0" collapsed="false">
      <c r="A449" s="8" t="n">
        <v>46315.8968385995</v>
      </c>
      <c r="B449" s="3" t="s">
        <v>474</v>
      </c>
      <c r="C449" s="0" t="n">
        <v>3</v>
      </c>
      <c r="D449" s="0" t="n">
        <v>142.4</v>
      </c>
      <c r="E449" s="0" t="n">
        <v>0.1</v>
      </c>
      <c r="F449" s="0" t="n">
        <v>0.1</v>
      </c>
      <c r="G449" s="0" t="n">
        <v>-3.5</v>
      </c>
      <c r="H449" s="0" t="n">
        <v>0.2</v>
      </c>
      <c r="I449" s="0" t="n">
        <v>-0.2</v>
      </c>
      <c r="J449" s="0" t="n">
        <v>278</v>
      </c>
      <c r="K449" s="0" t="n">
        <v>-35.3630966</v>
      </c>
      <c r="L449" s="0" t="n">
        <v>149.1637988</v>
      </c>
      <c r="M449" s="0" t="n">
        <v>432.2</v>
      </c>
      <c r="N449" s="3" t="n">
        <f aca="false">(A449-$A$2)*86400</f>
        <v>472.953000082</v>
      </c>
      <c r="O449" s="3" t="n">
        <f aca="false">D449*0.3048</f>
        <v>43.40352</v>
      </c>
      <c r="P449" s="3" t="n">
        <f aca="false">E449*0.44704</f>
        <v>0.044704</v>
      </c>
      <c r="Q449" s="3" t="n">
        <f aca="false">F449*0.44704</f>
        <v>0.044704</v>
      </c>
    </row>
    <row r="450" customFormat="false" ht="15" hidden="false" customHeight="false" outlineLevel="0" collapsed="false">
      <c r="A450" s="8" t="n">
        <v>46315.8968501273</v>
      </c>
      <c r="B450" s="3" t="s">
        <v>475</v>
      </c>
      <c r="C450" s="0" t="n">
        <v>3</v>
      </c>
      <c r="D450" s="0" t="n">
        <v>141.1</v>
      </c>
      <c r="E450" s="0" t="n">
        <v>0.1</v>
      </c>
      <c r="F450" s="0" t="n">
        <v>0.1</v>
      </c>
      <c r="G450" s="0" t="n">
        <v>-3.5</v>
      </c>
      <c r="H450" s="0" t="n">
        <v>0.1</v>
      </c>
      <c r="I450" s="0" t="n">
        <v>-0.1</v>
      </c>
      <c r="J450" s="0" t="n">
        <v>278</v>
      </c>
      <c r="K450" s="0" t="n">
        <v>-35.3630966</v>
      </c>
      <c r="L450" s="0" t="n">
        <v>149.1637989</v>
      </c>
      <c r="M450" s="0" t="n">
        <v>432.2</v>
      </c>
      <c r="N450" s="3" t="n">
        <f aca="false">(A450-$A$2)*86400</f>
        <v>473.948999634</v>
      </c>
      <c r="O450" s="3" t="n">
        <f aca="false">D450*0.3048</f>
        <v>43.00728</v>
      </c>
      <c r="P450" s="3" t="n">
        <f aca="false">E450*0.44704</f>
        <v>0.044704</v>
      </c>
      <c r="Q450" s="3" t="n">
        <f aca="false">F450*0.44704</f>
        <v>0.044704</v>
      </c>
    </row>
    <row r="451" customFormat="false" ht="15" hidden="false" customHeight="false" outlineLevel="0" collapsed="false">
      <c r="A451" s="8" t="n">
        <v>46315.8968619676</v>
      </c>
      <c r="B451" s="3" t="s">
        <v>476</v>
      </c>
      <c r="C451" s="0" t="n">
        <v>3</v>
      </c>
      <c r="D451" s="0" t="n">
        <v>139.8</v>
      </c>
      <c r="E451" s="0" t="n">
        <v>0</v>
      </c>
      <c r="F451" s="0" t="n">
        <v>0</v>
      </c>
      <c r="G451" s="0" t="n">
        <v>-3.5</v>
      </c>
      <c r="H451" s="0" t="n">
        <v>0</v>
      </c>
      <c r="I451" s="0" t="n">
        <v>-0.2</v>
      </c>
      <c r="J451" s="0" t="n">
        <v>278</v>
      </c>
      <c r="K451" s="0" t="n">
        <v>-35.3630966</v>
      </c>
      <c r="L451" s="0" t="n">
        <v>149.163799</v>
      </c>
      <c r="M451" s="0" t="n">
        <v>432.1</v>
      </c>
      <c r="N451" s="3" t="n">
        <f aca="false">(A451-$A$2)*86400</f>
        <v>474.97199939</v>
      </c>
      <c r="O451" s="3" t="n">
        <f aca="false">D451*0.3048</f>
        <v>42.61104</v>
      </c>
      <c r="P451" s="3" t="n">
        <f aca="false">E451*0.44704</f>
        <v>0</v>
      </c>
      <c r="Q451" s="3" t="n">
        <f aca="false">F451*0.44704</f>
        <v>0</v>
      </c>
    </row>
    <row r="452" customFormat="false" ht="15" hidden="false" customHeight="false" outlineLevel="0" collapsed="false">
      <c r="A452" s="8" t="n">
        <v>46315.8968749537</v>
      </c>
      <c r="B452" s="3" t="s">
        <v>477</v>
      </c>
      <c r="C452" s="0" t="n">
        <v>3</v>
      </c>
      <c r="D452" s="0" t="n">
        <v>138.5</v>
      </c>
      <c r="E452" s="0" t="n">
        <v>0</v>
      </c>
      <c r="F452" s="0" t="n">
        <v>0</v>
      </c>
      <c r="G452" s="0" t="n">
        <v>-3.4</v>
      </c>
      <c r="H452" s="0" t="n">
        <v>0</v>
      </c>
      <c r="I452" s="0" t="n">
        <v>-0.2</v>
      </c>
      <c r="J452" s="0" t="n">
        <v>278</v>
      </c>
      <c r="K452" s="0" t="n">
        <v>-35.3630966</v>
      </c>
      <c r="L452" s="0" t="n">
        <v>149.1637991</v>
      </c>
      <c r="M452" s="0" t="n">
        <v>432.1</v>
      </c>
      <c r="N452" s="3" t="n">
        <f aca="false">(A452-$A$2)*86400</f>
        <v>476.093999692</v>
      </c>
      <c r="O452" s="3" t="n">
        <f aca="false">D452*0.3048</f>
        <v>42.2148</v>
      </c>
      <c r="P452" s="3" t="n">
        <f aca="false">E452*0.44704</f>
        <v>0</v>
      </c>
      <c r="Q452" s="3" t="n">
        <f aca="false">F452*0.44704</f>
        <v>0</v>
      </c>
    </row>
    <row r="453" customFormat="false" ht="15" hidden="false" customHeight="false" outlineLevel="0" collapsed="false">
      <c r="A453" s="8" t="n">
        <v>46315.8968850347</v>
      </c>
      <c r="B453" s="3" t="s">
        <v>478</v>
      </c>
      <c r="C453" s="0" t="n">
        <v>3</v>
      </c>
      <c r="D453" s="0" t="n">
        <v>138.5</v>
      </c>
      <c r="E453" s="0" t="n">
        <v>0</v>
      </c>
      <c r="F453" s="0" t="n">
        <v>0</v>
      </c>
      <c r="G453" s="0" t="n">
        <v>-3.4</v>
      </c>
      <c r="H453" s="0" t="n">
        <v>0</v>
      </c>
      <c r="I453" s="0" t="n">
        <v>-0.2</v>
      </c>
      <c r="J453" s="0" t="n">
        <v>278</v>
      </c>
      <c r="K453" s="0" t="n">
        <v>-35.3630966</v>
      </c>
      <c r="L453" s="0" t="n">
        <v>149.1637991</v>
      </c>
      <c r="M453" s="0" t="n">
        <v>432.1</v>
      </c>
      <c r="N453" s="3" t="n">
        <f aca="false">(A453-$A$2)*86400</f>
        <v>476.964999921</v>
      </c>
      <c r="O453" s="3" t="n">
        <f aca="false">D453*0.3048</f>
        <v>42.2148</v>
      </c>
      <c r="P453" s="3" t="n">
        <f aca="false">E453*0.44704</f>
        <v>0</v>
      </c>
      <c r="Q453" s="3" t="n">
        <f aca="false">F453*0.44704</f>
        <v>0</v>
      </c>
    </row>
    <row r="454" customFormat="false" ht="15" hidden="false" customHeight="false" outlineLevel="0" collapsed="false">
      <c r="A454" s="8" t="n">
        <v>46315.8968964583</v>
      </c>
      <c r="B454" s="3" t="s">
        <v>479</v>
      </c>
      <c r="C454" s="0" t="n">
        <v>3</v>
      </c>
      <c r="D454" s="0" t="n">
        <v>137.3</v>
      </c>
      <c r="E454" s="0" t="n">
        <v>0</v>
      </c>
      <c r="F454" s="0" t="n">
        <v>0</v>
      </c>
      <c r="G454" s="0" t="n">
        <v>-3.4</v>
      </c>
      <c r="H454" s="0" t="n">
        <v>0</v>
      </c>
      <c r="I454" s="0" t="n">
        <v>-0.1</v>
      </c>
      <c r="J454" s="0" t="n">
        <v>278</v>
      </c>
      <c r="K454" s="0" t="n">
        <v>-35.3630966</v>
      </c>
      <c r="L454" s="0" t="n">
        <v>149.1637991</v>
      </c>
      <c r="M454" s="0" t="n">
        <v>432.1</v>
      </c>
      <c r="N454" s="3" t="n">
        <f aca="false">(A454-$A$2)*86400</f>
        <v>477.951999823</v>
      </c>
      <c r="O454" s="3" t="n">
        <f aca="false">D454*0.3048</f>
        <v>41.84904</v>
      </c>
      <c r="P454" s="3" t="n">
        <f aca="false">E454*0.44704</f>
        <v>0</v>
      </c>
      <c r="Q454" s="3" t="n">
        <f aca="false">F454*0.44704</f>
        <v>0</v>
      </c>
    </row>
    <row r="455" customFormat="false" ht="15" hidden="false" customHeight="false" outlineLevel="0" collapsed="false">
      <c r="A455" s="8" t="n">
        <v>46315.8969080208</v>
      </c>
      <c r="B455" s="3" t="s">
        <v>480</v>
      </c>
      <c r="C455" s="0" t="n">
        <v>3</v>
      </c>
      <c r="D455" s="0" t="n">
        <v>136.1</v>
      </c>
      <c r="E455" s="0" t="n">
        <v>0</v>
      </c>
      <c r="F455" s="0" t="n">
        <v>0</v>
      </c>
      <c r="G455" s="0" t="n">
        <v>-3.4</v>
      </c>
      <c r="H455" s="0" t="n">
        <v>-0.1</v>
      </c>
      <c r="I455" s="0" t="n">
        <v>0</v>
      </c>
      <c r="J455" s="0" t="n">
        <v>278</v>
      </c>
      <c r="K455" s="0" t="n">
        <v>-35.3630965</v>
      </c>
      <c r="L455" s="0" t="n">
        <v>149.1637991</v>
      </c>
      <c r="M455" s="0" t="n">
        <v>432.1</v>
      </c>
      <c r="N455" s="3" t="n">
        <f aca="false">(A455-$A$2)*86400</f>
        <v>478.950999886</v>
      </c>
      <c r="O455" s="3" t="n">
        <f aca="false">D455*0.3048</f>
        <v>41.48328</v>
      </c>
      <c r="P455" s="3" t="n">
        <f aca="false">E455*0.44704</f>
        <v>0</v>
      </c>
      <c r="Q455" s="3" t="n">
        <f aca="false">F455*0.44704</f>
        <v>0</v>
      </c>
    </row>
    <row r="456" customFormat="false" ht="15" hidden="false" customHeight="false" outlineLevel="0" collapsed="false">
      <c r="A456" s="8" t="n">
        <v>46315.8969196181</v>
      </c>
      <c r="B456" s="3" t="s">
        <v>481</v>
      </c>
      <c r="C456" s="0" t="n">
        <v>3</v>
      </c>
      <c r="D456" s="0" t="n">
        <v>134.8</v>
      </c>
      <c r="E456" s="0" t="n">
        <v>0</v>
      </c>
      <c r="F456" s="0" t="n">
        <v>0</v>
      </c>
      <c r="G456" s="0" t="n">
        <v>-3.3</v>
      </c>
      <c r="H456" s="0" t="n">
        <v>-0.1</v>
      </c>
      <c r="I456" s="0" t="n">
        <v>0</v>
      </c>
      <c r="J456" s="0" t="n">
        <v>278</v>
      </c>
      <c r="K456" s="0" t="n">
        <v>-35.3630965</v>
      </c>
      <c r="L456" s="0" t="n">
        <v>149.1637991</v>
      </c>
      <c r="M456" s="0" t="n">
        <v>432.1</v>
      </c>
      <c r="N456" s="3" t="n">
        <f aca="false">(A456-$A$2)*86400</f>
        <v>479.953000461</v>
      </c>
      <c r="O456" s="3" t="n">
        <f aca="false">D456*0.3048</f>
        <v>41.08704</v>
      </c>
      <c r="P456" s="3" t="n">
        <f aca="false">E456*0.44704</f>
        <v>0</v>
      </c>
      <c r="Q456" s="3" t="n">
        <f aca="false">F456*0.44704</f>
        <v>0</v>
      </c>
    </row>
    <row r="457" customFormat="false" ht="15" hidden="false" customHeight="false" outlineLevel="0" collapsed="false">
      <c r="A457" s="8" t="n">
        <v>46315.8969310764</v>
      </c>
      <c r="B457" s="3" t="s">
        <v>482</v>
      </c>
      <c r="C457" s="0" t="n">
        <v>3</v>
      </c>
      <c r="D457" s="0" t="n">
        <v>133.6</v>
      </c>
      <c r="E457" s="0" t="n">
        <v>0</v>
      </c>
      <c r="F457" s="0" t="n">
        <v>0</v>
      </c>
      <c r="G457" s="0" t="n">
        <v>-3.3</v>
      </c>
      <c r="H457" s="0" t="n">
        <v>-0.1</v>
      </c>
      <c r="I457" s="0" t="n">
        <v>0</v>
      </c>
      <c r="J457" s="0" t="n">
        <v>278</v>
      </c>
      <c r="K457" s="0" t="n">
        <v>-35.3630965</v>
      </c>
      <c r="L457" s="0" t="n">
        <v>149.1637991</v>
      </c>
      <c r="M457" s="0" t="n">
        <v>432.1</v>
      </c>
      <c r="N457" s="3" t="n">
        <f aca="false">(A457-$A$2)*86400</f>
        <v>480.943000246</v>
      </c>
      <c r="O457" s="3" t="n">
        <f aca="false">D457*0.3048</f>
        <v>40.72128</v>
      </c>
      <c r="P457" s="3" t="n">
        <f aca="false">E457*0.44704</f>
        <v>0</v>
      </c>
      <c r="Q457" s="3" t="n">
        <f aca="false">F457*0.44704</f>
        <v>0</v>
      </c>
    </row>
    <row r="458" customFormat="false" ht="15" hidden="false" customHeight="false" outlineLevel="0" collapsed="false">
      <c r="A458" s="8" t="n">
        <v>46315.8969425463</v>
      </c>
      <c r="B458" s="3" t="s">
        <v>483</v>
      </c>
      <c r="C458" s="0" t="n">
        <v>3</v>
      </c>
      <c r="D458" s="0" t="n">
        <v>132.4</v>
      </c>
      <c r="E458" s="0" t="n">
        <v>0</v>
      </c>
      <c r="F458" s="0" t="n">
        <v>0</v>
      </c>
      <c r="G458" s="0" t="n">
        <v>-3.3</v>
      </c>
      <c r="H458" s="0" t="n">
        <v>-0.1</v>
      </c>
      <c r="I458" s="0" t="n">
        <v>0</v>
      </c>
      <c r="J458" s="0" t="n">
        <v>278</v>
      </c>
      <c r="K458" s="0" t="n">
        <v>-35.3630965</v>
      </c>
      <c r="L458" s="0" t="n">
        <v>149.1637991</v>
      </c>
      <c r="M458" s="0" t="n">
        <v>432.1</v>
      </c>
      <c r="N458" s="3" t="n">
        <f aca="false">(A458-$A$2)*86400</f>
        <v>481.933999573</v>
      </c>
      <c r="O458" s="3" t="n">
        <f aca="false">D458*0.3048</f>
        <v>40.35552</v>
      </c>
      <c r="P458" s="3" t="n">
        <f aca="false">E458*0.44704</f>
        <v>0</v>
      </c>
      <c r="Q458" s="3" t="n">
        <f aca="false">F458*0.44704</f>
        <v>0</v>
      </c>
    </row>
    <row r="459" customFormat="false" ht="15" hidden="false" customHeight="false" outlineLevel="0" collapsed="false">
      <c r="A459" s="8" t="n">
        <v>46315.8969542824</v>
      </c>
      <c r="B459" s="3" t="s">
        <v>484</v>
      </c>
      <c r="C459" s="0" t="n">
        <v>3</v>
      </c>
      <c r="D459" s="0" t="n">
        <v>129.9</v>
      </c>
      <c r="E459" s="0" t="n">
        <v>0</v>
      </c>
      <c r="F459" s="0" t="n">
        <v>0</v>
      </c>
      <c r="G459" s="0" t="n">
        <v>-3.3</v>
      </c>
      <c r="H459" s="0" t="n">
        <v>0</v>
      </c>
      <c r="I459" s="0" t="n">
        <v>0</v>
      </c>
      <c r="J459" s="0" t="n">
        <v>278</v>
      </c>
      <c r="K459" s="0" t="n">
        <v>-35.3630965</v>
      </c>
      <c r="L459" s="0" t="n">
        <v>149.1637991</v>
      </c>
      <c r="M459" s="0" t="n">
        <v>432.1</v>
      </c>
      <c r="N459" s="3" t="n">
        <f aca="false">(A459-$A$2)*86400</f>
        <v>482.948000309</v>
      </c>
      <c r="O459" s="3" t="n">
        <f aca="false">D459*0.3048</f>
        <v>39.59352</v>
      </c>
      <c r="P459" s="3" t="n">
        <f aca="false">E459*0.44704</f>
        <v>0</v>
      </c>
      <c r="Q459" s="3" t="n">
        <f aca="false">F459*0.44704</f>
        <v>0</v>
      </c>
    </row>
    <row r="460" customFormat="false" ht="15" hidden="false" customHeight="false" outlineLevel="0" collapsed="false">
      <c r="A460" s="8" t="n">
        <v>46315.8969658449</v>
      </c>
      <c r="B460" s="3" t="s">
        <v>485</v>
      </c>
      <c r="C460" s="0" t="n">
        <v>3</v>
      </c>
      <c r="D460" s="0" t="n">
        <v>128.7</v>
      </c>
      <c r="E460" s="0" t="n">
        <v>0</v>
      </c>
      <c r="F460" s="0" t="n">
        <v>0</v>
      </c>
      <c r="G460" s="0" t="n">
        <v>-3.4</v>
      </c>
      <c r="H460" s="0" t="n">
        <v>0</v>
      </c>
      <c r="I460" s="0" t="n">
        <v>0</v>
      </c>
      <c r="J460" s="0" t="n">
        <v>278</v>
      </c>
      <c r="K460" s="0" t="n">
        <v>-35.3630965</v>
      </c>
      <c r="L460" s="0" t="n">
        <v>149.1637991</v>
      </c>
      <c r="M460" s="0" t="n">
        <v>432.1</v>
      </c>
      <c r="N460" s="3" t="n">
        <f aca="false">(A460-$A$2)*86400</f>
        <v>483.947000373</v>
      </c>
      <c r="O460" s="3" t="n">
        <f aca="false">D460*0.3048</f>
        <v>39.22776</v>
      </c>
      <c r="P460" s="3" t="n">
        <f aca="false">E460*0.44704</f>
        <v>0</v>
      </c>
      <c r="Q460" s="3" t="n">
        <f aca="false">F460*0.44704</f>
        <v>0</v>
      </c>
    </row>
    <row r="461" customFormat="false" ht="15" hidden="false" customHeight="false" outlineLevel="0" collapsed="false">
      <c r="A461" s="8" t="n">
        <v>46315.8969776042</v>
      </c>
      <c r="B461" s="3" t="s">
        <v>486</v>
      </c>
      <c r="C461" s="0" t="n">
        <v>3</v>
      </c>
      <c r="D461" s="0" t="n">
        <v>127.5</v>
      </c>
      <c r="E461" s="0" t="n">
        <v>0</v>
      </c>
      <c r="F461" s="0" t="n">
        <v>0</v>
      </c>
      <c r="G461" s="0" t="n">
        <v>-3.4</v>
      </c>
      <c r="H461" s="0" t="n">
        <v>0</v>
      </c>
      <c r="I461" s="0" t="n">
        <v>0</v>
      </c>
      <c r="J461" s="0" t="n">
        <v>278</v>
      </c>
      <c r="K461" s="0" t="n">
        <v>-35.3630965</v>
      </c>
      <c r="L461" s="0" t="n">
        <v>149.1637991</v>
      </c>
      <c r="M461" s="0" t="n">
        <v>432.1</v>
      </c>
      <c r="N461" s="3" t="n">
        <f aca="false">(A461-$A$2)*86400</f>
        <v>484.962999564</v>
      </c>
      <c r="O461" s="3" t="n">
        <f aca="false">D461*0.3048</f>
        <v>38.862</v>
      </c>
      <c r="P461" s="3" t="n">
        <f aca="false">E461*0.44704</f>
        <v>0</v>
      </c>
      <c r="Q461" s="3" t="n">
        <f aca="false">F461*0.44704</f>
        <v>0</v>
      </c>
    </row>
    <row r="462" customFormat="false" ht="15" hidden="false" customHeight="false" outlineLevel="0" collapsed="false">
      <c r="A462" s="8" t="n">
        <v>46315.896988912</v>
      </c>
      <c r="B462" s="3" t="s">
        <v>487</v>
      </c>
      <c r="C462" s="0" t="n">
        <v>3</v>
      </c>
      <c r="D462" s="0" t="n">
        <v>126.2</v>
      </c>
      <c r="E462" s="0" t="n">
        <v>0</v>
      </c>
      <c r="F462" s="0" t="n">
        <v>0</v>
      </c>
      <c r="G462" s="0" t="n">
        <v>-3.4</v>
      </c>
      <c r="H462" s="0" t="n">
        <v>0</v>
      </c>
      <c r="I462" s="0" t="n">
        <v>0</v>
      </c>
      <c r="J462" s="0" t="n">
        <v>278</v>
      </c>
      <c r="K462" s="0" t="n">
        <v>-35.3630965</v>
      </c>
      <c r="L462" s="0" t="n">
        <v>149.1637991</v>
      </c>
      <c r="M462" s="0" t="n">
        <v>432.1</v>
      </c>
      <c r="N462" s="3" t="n">
        <f aca="false">(A462-$A$2)*86400</f>
        <v>485.939999017</v>
      </c>
      <c r="O462" s="3" t="n">
        <f aca="false">D462*0.3048</f>
        <v>38.46576</v>
      </c>
      <c r="P462" s="3" t="n">
        <f aca="false">E462*0.44704</f>
        <v>0</v>
      </c>
      <c r="Q462" s="3" t="n">
        <f aca="false">F462*0.44704</f>
        <v>0</v>
      </c>
    </row>
    <row r="463" customFormat="false" ht="15" hidden="false" customHeight="false" outlineLevel="0" collapsed="false">
      <c r="A463" s="8" t="n">
        <v>46315.897000787</v>
      </c>
      <c r="B463" s="3" t="s">
        <v>488</v>
      </c>
      <c r="C463" s="0" t="n">
        <v>3</v>
      </c>
      <c r="D463" s="0" t="n">
        <v>125</v>
      </c>
      <c r="E463" s="0" t="n">
        <v>0</v>
      </c>
      <c r="F463" s="0" t="n">
        <v>0</v>
      </c>
      <c r="G463" s="0" t="n">
        <v>-3.4</v>
      </c>
      <c r="H463" s="0" t="n">
        <v>0</v>
      </c>
      <c r="I463" s="0" t="n">
        <v>0</v>
      </c>
      <c r="J463" s="0" t="n">
        <v>278</v>
      </c>
      <c r="K463" s="0" t="n">
        <v>-35.3630965</v>
      </c>
      <c r="L463" s="0" t="n">
        <v>149.1637991</v>
      </c>
      <c r="M463" s="0" t="n">
        <v>432.1</v>
      </c>
      <c r="N463" s="3" t="n">
        <f aca="false">(A463-$A$2)*86400</f>
        <v>486.965999915</v>
      </c>
      <c r="O463" s="3" t="n">
        <f aca="false">D463*0.3048</f>
        <v>38.1</v>
      </c>
      <c r="P463" s="3" t="n">
        <f aca="false">E463*0.44704</f>
        <v>0</v>
      </c>
      <c r="Q463" s="3" t="n">
        <f aca="false">F463*0.44704</f>
        <v>0</v>
      </c>
    </row>
    <row r="464" customFormat="false" ht="15" hidden="false" customHeight="false" outlineLevel="0" collapsed="false">
      <c r="A464" s="8" t="n">
        <v>46315.8970124884</v>
      </c>
      <c r="B464" s="3" t="s">
        <v>489</v>
      </c>
      <c r="C464" s="0" t="n">
        <v>3</v>
      </c>
      <c r="D464" s="0" t="n">
        <v>123.8</v>
      </c>
      <c r="E464" s="0" t="n">
        <v>0</v>
      </c>
      <c r="F464" s="0" t="n">
        <v>0</v>
      </c>
      <c r="G464" s="0" t="n">
        <v>-3.4</v>
      </c>
      <c r="H464" s="0" t="n">
        <v>0</v>
      </c>
      <c r="I464" s="0" t="n">
        <v>0</v>
      </c>
      <c r="J464" s="0" t="n">
        <v>278</v>
      </c>
      <c r="K464" s="0" t="n">
        <v>-35.3630965</v>
      </c>
      <c r="L464" s="0" t="n">
        <v>149.1637991</v>
      </c>
      <c r="M464" s="0" t="n">
        <v>432.1</v>
      </c>
      <c r="N464" s="3" t="n">
        <f aca="false">(A464-$A$2)*86400</f>
        <v>487.977000139</v>
      </c>
      <c r="O464" s="3" t="n">
        <f aca="false">D464*0.3048</f>
        <v>37.73424</v>
      </c>
      <c r="P464" s="3" t="n">
        <f aca="false">E464*0.44704</f>
        <v>0</v>
      </c>
      <c r="Q464" s="3" t="n">
        <f aca="false">F464*0.44704</f>
        <v>0</v>
      </c>
    </row>
    <row r="465" customFormat="false" ht="15" hidden="false" customHeight="false" outlineLevel="0" collapsed="false">
      <c r="A465" s="8" t="n">
        <v>46315.8970242014</v>
      </c>
      <c r="B465" s="3" t="s">
        <v>489</v>
      </c>
      <c r="C465" s="0" t="n">
        <v>3</v>
      </c>
      <c r="D465" s="0" t="n">
        <v>122.5</v>
      </c>
      <c r="E465" s="0" t="n">
        <v>0</v>
      </c>
      <c r="F465" s="0" t="n">
        <v>0</v>
      </c>
      <c r="G465" s="0" t="n">
        <v>-3.4</v>
      </c>
      <c r="H465" s="0" t="n">
        <v>0</v>
      </c>
      <c r="I465" s="0" t="n">
        <v>0</v>
      </c>
      <c r="J465" s="0" t="n">
        <v>278</v>
      </c>
      <c r="K465" s="0" t="n">
        <v>-35.3630965</v>
      </c>
      <c r="L465" s="0" t="n">
        <v>149.1637991</v>
      </c>
      <c r="M465" s="0" t="n">
        <v>432.1</v>
      </c>
      <c r="N465" s="3" t="n">
        <f aca="false">(A465-$A$2)*86400</f>
        <v>488.988999905</v>
      </c>
      <c r="O465" s="3" t="n">
        <f aca="false">D465*0.3048</f>
        <v>37.338</v>
      </c>
      <c r="P465" s="3" t="n">
        <f aca="false">E465*0.44704</f>
        <v>0</v>
      </c>
      <c r="Q465" s="3" t="n">
        <f aca="false">F465*0.44704</f>
        <v>0</v>
      </c>
    </row>
    <row r="466" customFormat="false" ht="15" hidden="false" customHeight="false" outlineLevel="0" collapsed="false">
      <c r="A466" s="8" t="n">
        <v>46315.8970352894</v>
      </c>
      <c r="B466" s="3" t="s">
        <v>490</v>
      </c>
      <c r="C466" s="0" t="n">
        <v>3</v>
      </c>
      <c r="D466" s="0" t="n">
        <v>122.5</v>
      </c>
      <c r="E466" s="0" t="n">
        <v>0</v>
      </c>
      <c r="F466" s="0" t="n">
        <v>0</v>
      </c>
      <c r="G466" s="0" t="n">
        <v>-3.4</v>
      </c>
      <c r="H466" s="0" t="n">
        <v>0</v>
      </c>
      <c r="I466" s="0" t="n">
        <v>0</v>
      </c>
      <c r="J466" s="0" t="n">
        <v>278</v>
      </c>
      <c r="K466" s="0" t="n">
        <v>-35.3630965</v>
      </c>
      <c r="L466" s="0" t="n">
        <v>149.1637991</v>
      </c>
      <c r="M466" s="0" t="n">
        <v>432.1</v>
      </c>
      <c r="N466" s="3" t="n">
        <f aca="false">(A466-$A$2)*86400</f>
        <v>489.946999889</v>
      </c>
      <c r="O466" s="3" t="n">
        <f aca="false">D466*0.3048</f>
        <v>37.338</v>
      </c>
      <c r="P466" s="3" t="n">
        <f aca="false">E466*0.44704</f>
        <v>0</v>
      </c>
      <c r="Q466" s="3" t="n">
        <f aca="false">F466*0.44704</f>
        <v>0</v>
      </c>
    </row>
    <row r="467" customFormat="false" ht="15" hidden="false" customHeight="false" outlineLevel="0" collapsed="false">
      <c r="A467" s="8" t="n">
        <v>46315.8970470255</v>
      </c>
      <c r="B467" s="3" t="s">
        <v>491</v>
      </c>
      <c r="C467" s="0" t="n">
        <v>3</v>
      </c>
      <c r="D467" s="0" t="n">
        <v>121.3</v>
      </c>
      <c r="E467" s="0" t="n">
        <v>0</v>
      </c>
      <c r="F467" s="0" t="n">
        <v>0</v>
      </c>
      <c r="G467" s="0" t="n">
        <v>-3.4</v>
      </c>
      <c r="H467" s="0" t="n">
        <v>0</v>
      </c>
      <c r="I467" s="0" t="n">
        <v>0</v>
      </c>
      <c r="J467" s="0" t="n">
        <v>278</v>
      </c>
      <c r="K467" s="0" t="n">
        <v>-35.3630965</v>
      </c>
      <c r="L467" s="0" t="n">
        <v>149.1637991</v>
      </c>
      <c r="M467" s="0" t="n">
        <v>432.1</v>
      </c>
      <c r="N467" s="3" t="n">
        <f aca="false">(A467-$A$2)*86400</f>
        <v>490.960999368</v>
      </c>
      <c r="O467" s="3" t="n">
        <f aca="false">D467*0.3048</f>
        <v>36.97224</v>
      </c>
      <c r="P467" s="3" t="n">
        <f aca="false">E467*0.44704</f>
        <v>0</v>
      </c>
      <c r="Q467" s="3" t="n">
        <f aca="false">F467*0.44704</f>
        <v>0</v>
      </c>
    </row>
    <row r="468" customFormat="false" ht="15" hidden="false" customHeight="false" outlineLevel="0" collapsed="false">
      <c r="A468" s="8" t="n">
        <v>46315.8970584491</v>
      </c>
      <c r="B468" s="3" t="s">
        <v>492</v>
      </c>
      <c r="C468" s="0" t="n">
        <v>3</v>
      </c>
      <c r="D468" s="0" t="n">
        <v>120.1</v>
      </c>
      <c r="E468" s="0" t="n">
        <v>0</v>
      </c>
      <c r="F468" s="0" t="n">
        <v>0</v>
      </c>
      <c r="G468" s="0" t="n">
        <v>-3.4</v>
      </c>
      <c r="H468" s="0" t="n">
        <v>0</v>
      </c>
      <c r="I468" s="0" t="n">
        <v>0</v>
      </c>
      <c r="J468" s="0" t="n">
        <v>278</v>
      </c>
      <c r="K468" s="0" t="n">
        <v>-35.3630965</v>
      </c>
      <c r="L468" s="0" t="n">
        <v>149.1637991</v>
      </c>
      <c r="M468" s="0" t="n">
        <v>432.1</v>
      </c>
      <c r="N468" s="3" t="n">
        <f aca="false">(A468-$A$2)*86400</f>
        <v>491.94799927</v>
      </c>
      <c r="O468" s="3" t="n">
        <f aca="false">D468*0.3048</f>
        <v>36.60648</v>
      </c>
      <c r="P468" s="3" t="n">
        <f aca="false">E468*0.44704</f>
        <v>0</v>
      </c>
      <c r="Q468" s="3" t="n">
        <f aca="false">F468*0.44704</f>
        <v>0</v>
      </c>
    </row>
    <row r="469" customFormat="false" ht="15" hidden="false" customHeight="false" outlineLevel="0" collapsed="false">
      <c r="A469" s="8" t="n">
        <v>46315.8970701736</v>
      </c>
      <c r="B469" s="3" t="s">
        <v>493</v>
      </c>
      <c r="C469" s="0" t="n">
        <v>3</v>
      </c>
      <c r="D469" s="0" t="n">
        <v>118.9</v>
      </c>
      <c r="E469" s="0" t="n">
        <v>0</v>
      </c>
      <c r="F469" s="0" t="n">
        <v>0</v>
      </c>
      <c r="G469" s="0" t="n">
        <v>-3.4</v>
      </c>
      <c r="H469" s="0" t="n">
        <v>0</v>
      </c>
      <c r="I469" s="0" t="n">
        <v>0</v>
      </c>
      <c r="J469" s="0" t="n">
        <v>278</v>
      </c>
      <c r="K469" s="0" t="n">
        <v>-35.3630965</v>
      </c>
      <c r="L469" s="0" t="n">
        <v>149.1637991</v>
      </c>
      <c r="M469" s="0" t="n">
        <v>432.1</v>
      </c>
      <c r="N469" s="3" t="n">
        <f aca="false">(A469-$A$2)*86400</f>
        <v>492.960999836</v>
      </c>
      <c r="O469" s="3" t="n">
        <f aca="false">D469*0.3048</f>
        <v>36.24072</v>
      </c>
      <c r="P469" s="3" t="n">
        <f aca="false">E469*0.44704</f>
        <v>0</v>
      </c>
      <c r="Q469" s="3" t="n">
        <f aca="false">F469*0.44704</f>
        <v>0</v>
      </c>
    </row>
    <row r="470" customFormat="false" ht="15" hidden="false" customHeight="false" outlineLevel="0" collapsed="false">
      <c r="A470" s="8" t="n">
        <v>46315.8970815162</v>
      </c>
      <c r="B470" s="3" t="s">
        <v>494</v>
      </c>
      <c r="C470" s="0" t="n">
        <v>3</v>
      </c>
      <c r="D470" s="0" t="n">
        <v>117.6</v>
      </c>
      <c r="E470" s="0" t="n">
        <v>0</v>
      </c>
      <c r="F470" s="0" t="n">
        <v>0</v>
      </c>
      <c r="G470" s="0" t="n">
        <v>-3.4</v>
      </c>
      <c r="H470" s="0" t="n">
        <v>0</v>
      </c>
      <c r="I470" s="0" t="n">
        <v>0</v>
      </c>
      <c r="J470" s="0" t="n">
        <v>278</v>
      </c>
      <c r="K470" s="0" t="n">
        <v>-35.3630965</v>
      </c>
      <c r="L470" s="0" t="n">
        <v>149.1637991</v>
      </c>
      <c r="M470" s="0" t="n">
        <v>432.1</v>
      </c>
      <c r="N470" s="3" t="n">
        <f aca="false">(A470-$A$2)*86400</f>
        <v>493.940999801</v>
      </c>
      <c r="O470" s="3" t="n">
        <f aca="false">D470*0.3048</f>
        <v>35.84448</v>
      </c>
      <c r="P470" s="3" t="n">
        <f aca="false">E470*0.44704</f>
        <v>0</v>
      </c>
      <c r="Q470" s="3" t="n">
        <f aca="false">F470*0.44704</f>
        <v>0</v>
      </c>
    </row>
    <row r="471" customFormat="false" ht="15" hidden="false" customHeight="false" outlineLevel="0" collapsed="false">
      <c r="A471" s="8" t="n">
        <v>46315.8970930556</v>
      </c>
      <c r="B471" s="3" t="s">
        <v>495</v>
      </c>
      <c r="C471" s="0" t="n">
        <v>3</v>
      </c>
      <c r="D471" s="0" t="n">
        <v>116.4</v>
      </c>
      <c r="E471" s="0" t="n">
        <v>0</v>
      </c>
      <c r="F471" s="0" t="n">
        <v>0</v>
      </c>
      <c r="G471" s="0" t="n">
        <v>-3.4</v>
      </c>
      <c r="H471" s="0" t="n">
        <v>0</v>
      </c>
      <c r="I471" s="0" t="n">
        <v>0</v>
      </c>
      <c r="J471" s="0" t="n">
        <v>278</v>
      </c>
      <c r="K471" s="0" t="n">
        <v>-35.3630965</v>
      </c>
      <c r="L471" s="0" t="n">
        <v>149.1637991</v>
      </c>
      <c r="M471" s="0" t="n">
        <v>432.1</v>
      </c>
      <c r="N471" s="3" t="n">
        <f aca="false">(A471-$A$2)*86400</f>
        <v>494.938000151</v>
      </c>
      <c r="O471" s="3" t="n">
        <f aca="false">D471*0.3048</f>
        <v>35.47872</v>
      </c>
      <c r="P471" s="3" t="n">
        <f aca="false">E471*0.44704</f>
        <v>0</v>
      </c>
      <c r="Q471" s="3" t="n">
        <f aca="false">F471*0.44704</f>
        <v>0</v>
      </c>
    </row>
    <row r="472" customFormat="false" ht="15" hidden="false" customHeight="false" outlineLevel="0" collapsed="false">
      <c r="A472" s="8" t="n">
        <v>46315.8971049653</v>
      </c>
      <c r="B472" s="3" t="s">
        <v>496</v>
      </c>
      <c r="C472" s="0" t="n">
        <v>3</v>
      </c>
      <c r="D472" s="0" t="n">
        <v>115.2</v>
      </c>
      <c r="E472" s="0" t="n">
        <v>0</v>
      </c>
      <c r="F472" s="0" t="n">
        <v>0</v>
      </c>
      <c r="G472" s="0" t="n">
        <v>-3.4</v>
      </c>
      <c r="H472" s="0" t="n">
        <v>0</v>
      </c>
      <c r="I472" s="0" t="n">
        <v>0</v>
      </c>
      <c r="J472" s="0" t="n">
        <v>278</v>
      </c>
      <c r="K472" s="0" t="n">
        <v>-35.3630965</v>
      </c>
      <c r="L472" s="0" t="n">
        <v>149.1637991</v>
      </c>
      <c r="M472" s="0" t="n">
        <v>432.1</v>
      </c>
      <c r="N472" s="3" t="n">
        <f aca="false">(A472-$A$2)*86400</f>
        <v>495.967000303</v>
      </c>
      <c r="O472" s="3" t="n">
        <f aca="false">D472*0.3048</f>
        <v>35.11296</v>
      </c>
      <c r="P472" s="3" t="n">
        <f aca="false">E472*0.44704</f>
        <v>0</v>
      </c>
      <c r="Q472" s="3" t="n">
        <f aca="false">F472*0.44704</f>
        <v>0</v>
      </c>
    </row>
    <row r="473" customFormat="false" ht="15" hidden="false" customHeight="false" outlineLevel="0" collapsed="false">
      <c r="A473" s="8" t="n">
        <v>46315.8971164236</v>
      </c>
      <c r="B473" s="3" t="s">
        <v>497</v>
      </c>
      <c r="C473" s="0" t="n">
        <v>3</v>
      </c>
      <c r="D473" s="0" t="n">
        <v>113.9</v>
      </c>
      <c r="E473" s="0" t="n">
        <v>0</v>
      </c>
      <c r="F473" s="0" t="n">
        <v>0</v>
      </c>
      <c r="G473" s="0" t="n">
        <v>-3.4</v>
      </c>
      <c r="H473" s="0" t="n">
        <v>0</v>
      </c>
      <c r="I473" s="0" t="n">
        <v>0</v>
      </c>
      <c r="J473" s="0" t="n">
        <v>278</v>
      </c>
      <c r="K473" s="0" t="n">
        <v>-35.3630965</v>
      </c>
      <c r="L473" s="0" t="n">
        <v>149.1637991</v>
      </c>
      <c r="M473" s="0" t="n">
        <v>432.1</v>
      </c>
      <c r="N473" s="3" t="n">
        <f aca="false">(A473-$A$2)*86400</f>
        <v>496.957000088</v>
      </c>
      <c r="O473" s="3" t="n">
        <f aca="false">D473*0.3048</f>
        <v>34.71672</v>
      </c>
      <c r="P473" s="3" t="n">
        <f aca="false">E473*0.44704</f>
        <v>0</v>
      </c>
      <c r="Q473" s="3" t="n">
        <f aca="false">F473*0.44704</f>
        <v>0</v>
      </c>
    </row>
    <row r="474" customFormat="false" ht="15" hidden="false" customHeight="false" outlineLevel="0" collapsed="false">
      <c r="A474" s="8" t="n">
        <v>46315.8971281134</v>
      </c>
      <c r="B474" s="3" t="s">
        <v>498</v>
      </c>
      <c r="C474" s="0" t="n">
        <v>3</v>
      </c>
      <c r="D474" s="0" t="n">
        <v>112.7</v>
      </c>
      <c r="E474" s="0" t="n">
        <v>0</v>
      </c>
      <c r="F474" s="0" t="n">
        <v>0</v>
      </c>
      <c r="G474" s="0" t="n">
        <v>-3.4</v>
      </c>
      <c r="H474" s="0" t="n">
        <v>0</v>
      </c>
      <c r="I474" s="0" t="n">
        <v>0</v>
      </c>
      <c r="J474" s="0" t="n">
        <v>278</v>
      </c>
      <c r="K474" s="0" t="n">
        <v>-35.3630965</v>
      </c>
      <c r="L474" s="0" t="n">
        <v>149.1637991</v>
      </c>
      <c r="M474" s="0" t="n">
        <v>432.1</v>
      </c>
      <c r="N474" s="3" t="n">
        <f aca="false">(A474-$A$2)*86400</f>
        <v>497.967000142</v>
      </c>
      <c r="O474" s="3" t="n">
        <f aca="false">D474*0.3048</f>
        <v>34.35096</v>
      </c>
      <c r="P474" s="3" t="n">
        <f aca="false">E474*0.44704</f>
        <v>0</v>
      </c>
      <c r="Q474" s="3" t="n">
        <f aca="false">F474*0.44704</f>
        <v>0</v>
      </c>
    </row>
    <row r="475" customFormat="false" ht="15" hidden="false" customHeight="false" outlineLevel="0" collapsed="false">
      <c r="A475" s="8" t="n">
        <v>46315.8971542245</v>
      </c>
      <c r="B475" s="3" t="s">
        <v>499</v>
      </c>
      <c r="C475" s="0" t="n">
        <v>3</v>
      </c>
      <c r="D475" s="0" t="n">
        <v>112.7</v>
      </c>
      <c r="E475" s="0" t="n">
        <v>0</v>
      </c>
      <c r="F475" s="0" t="n">
        <v>0</v>
      </c>
      <c r="G475" s="0" t="n">
        <v>-3.4</v>
      </c>
      <c r="H475" s="0" t="n">
        <v>0</v>
      </c>
      <c r="I475" s="0" t="n">
        <v>0</v>
      </c>
      <c r="J475" s="0" t="n">
        <v>278</v>
      </c>
      <c r="K475" s="0" t="n">
        <v>-35.3630965</v>
      </c>
      <c r="L475" s="0" t="n">
        <v>149.1637991</v>
      </c>
      <c r="M475" s="0" t="n">
        <v>432.1</v>
      </c>
      <c r="N475" s="3" t="n">
        <f aca="false">(A475-$A$2)*86400</f>
        <v>500.22299902</v>
      </c>
      <c r="O475" s="3" t="n">
        <f aca="false">D475*0.3048</f>
        <v>34.35096</v>
      </c>
      <c r="P475" s="3" t="n">
        <f aca="false">E475*0.44704</f>
        <v>0</v>
      </c>
      <c r="Q475" s="3" t="n">
        <f aca="false">F475*0.44704</f>
        <v>0</v>
      </c>
    </row>
    <row r="476" customFormat="false" ht="15" hidden="false" customHeight="false" outlineLevel="0" collapsed="false">
      <c r="A476" s="8" t="n">
        <v>46315.8971664468</v>
      </c>
      <c r="B476" s="3" t="s">
        <v>500</v>
      </c>
      <c r="C476" s="0" t="n">
        <v>3</v>
      </c>
      <c r="D476" s="0" t="n">
        <v>109</v>
      </c>
      <c r="E476" s="0" t="n">
        <v>0</v>
      </c>
      <c r="F476" s="0" t="n">
        <v>0</v>
      </c>
      <c r="G476" s="0" t="n">
        <v>-3.4</v>
      </c>
      <c r="H476" s="0" t="n">
        <v>0</v>
      </c>
      <c r="I476" s="0" t="n">
        <v>0</v>
      </c>
      <c r="J476" s="0" t="n">
        <v>278</v>
      </c>
      <c r="K476" s="0" t="n">
        <v>-35.3630965</v>
      </c>
      <c r="L476" s="0" t="n">
        <v>149.1637991</v>
      </c>
      <c r="M476" s="0" t="n">
        <v>432.1</v>
      </c>
      <c r="N476" s="3" t="n">
        <f aca="false">(A476-$A$2)*86400</f>
        <v>501.279000006</v>
      </c>
      <c r="O476" s="3" t="n">
        <f aca="false">D476*0.3048</f>
        <v>33.2232</v>
      </c>
      <c r="P476" s="3" t="n">
        <f aca="false">E476*0.44704</f>
        <v>0</v>
      </c>
      <c r="Q476" s="3" t="n">
        <f aca="false">F476*0.44704</f>
        <v>0</v>
      </c>
    </row>
    <row r="477" customFormat="false" ht="15" hidden="false" customHeight="false" outlineLevel="0" collapsed="false">
      <c r="A477" s="8" t="n">
        <v>46315.8971788889</v>
      </c>
      <c r="B477" s="3" t="s">
        <v>501</v>
      </c>
      <c r="C477" s="0" t="n">
        <v>3</v>
      </c>
      <c r="D477" s="0" t="n">
        <v>107.8</v>
      </c>
      <c r="E477" s="0" t="n">
        <v>0</v>
      </c>
      <c r="F477" s="0" t="n">
        <v>0</v>
      </c>
      <c r="G477" s="0" t="n">
        <v>-3.4</v>
      </c>
      <c r="H477" s="0" t="n">
        <v>0</v>
      </c>
      <c r="I477" s="0" t="n">
        <v>0</v>
      </c>
      <c r="J477" s="0" t="n">
        <v>278</v>
      </c>
      <c r="K477" s="0" t="n">
        <v>-35.3630965</v>
      </c>
      <c r="L477" s="0" t="n">
        <v>149.1637991</v>
      </c>
      <c r="M477" s="0" t="n">
        <v>432.1</v>
      </c>
      <c r="N477" s="3" t="n">
        <f aca="false">(A477-$A$2)*86400</f>
        <v>502.353999833</v>
      </c>
      <c r="O477" s="3" t="n">
        <f aca="false">D477*0.3048</f>
        <v>32.85744</v>
      </c>
      <c r="P477" s="3" t="n">
        <f aca="false">E477*0.44704</f>
        <v>0</v>
      </c>
      <c r="Q477" s="3" t="n">
        <f aca="false">F477*0.44704</f>
        <v>0</v>
      </c>
    </row>
    <row r="478" customFormat="false" ht="15" hidden="false" customHeight="false" outlineLevel="0" collapsed="false">
      <c r="A478" s="8" t="n">
        <v>46315.8971906482</v>
      </c>
      <c r="B478" s="3" t="s">
        <v>502</v>
      </c>
      <c r="C478" s="0" t="n">
        <v>3</v>
      </c>
      <c r="D478" s="0" t="n">
        <v>106.6</v>
      </c>
      <c r="E478" s="0" t="n">
        <v>0</v>
      </c>
      <c r="F478" s="0" t="n">
        <v>0</v>
      </c>
      <c r="G478" s="0" t="n">
        <v>-3.4</v>
      </c>
      <c r="H478" s="0" t="n">
        <v>0</v>
      </c>
      <c r="I478" s="0" t="n">
        <v>0</v>
      </c>
      <c r="J478" s="0" t="n">
        <v>278</v>
      </c>
      <c r="K478" s="0" t="n">
        <v>-35.3630965</v>
      </c>
      <c r="L478" s="0" t="n">
        <v>149.1637991</v>
      </c>
      <c r="M478" s="0" t="n">
        <v>432.1</v>
      </c>
      <c r="N478" s="3" t="n">
        <f aca="false">(A478-$A$2)*86400</f>
        <v>503.370000282</v>
      </c>
      <c r="O478" s="3" t="n">
        <f aca="false">D478*0.3048</f>
        <v>32.49168</v>
      </c>
      <c r="P478" s="3" t="n">
        <f aca="false">E478*0.44704</f>
        <v>0</v>
      </c>
      <c r="Q478" s="3" t="n">
        <f aca="false">F478*0.44704</f>
        <v>0</v>
      </c>
    </row>
    <row r="479" customFormat="false" ht="15" hidden="false" customHeight="false" outlineLevel="0" collapsed="false">
      <c r="A479" s="8" t="n">
        <v>46315.897202963</v>
      </c>
      <c r="B479" s="3" t="s">
        <v>503</v>
      </c>
      <c r="C479" s="0" t="n">
        <v>3</v>
      </c>
      <c r="D479" s="0" t="n">
        <v>105.3</v>
      </c>
      <c r="E479" s="0" t="n">
        <v>0</v>
      </c>
      <c r="F479" s="0" t="n">
        <v>0</v>
      </c>
      <c r="G479" s="0" t="n">
        <v>-3.4</v>
      </c>
      <c r="H479" s="0" t="n">
        <v>0</v>
      </c>
      <c r="I479" s="0" t="n">
        <v>0</v>
      </c>
      <c r="J479" s="0" t="n">
        <v>278</v>
      </c>
      <c r="K479" s="0" t="n">
        <v>-35.3630965</v>
      </c>
      <c r="L479" s="0" t="n">
        <v>149.1637991</v>
      </c>
      <c r="M479" s="0" t="n">
        <v>432.1</v>
      </c>
      <c r="N479" s="3" t="n">
        <f aca="false">(A479-$A$2)*86400</f>
        <v>504.434000747</v>
      </c>
      <c r="O479" s="3" t="n">
        <f aca="false">D479*0.3048</f>
        <v>32.09544</v>
      </c>
      <c r="P479" s="3" t="n">
        <f aca="false">E479*0.44704</f>
        <v>0</v>
      </c>
      <c r="Q479" s="3" t="n">
        <f aca="false">F479*0.44704</f>
        <v>0</v>
      </c>
    </row>
    <row r="480" customFormat="false" ht="15" hidden="false" customHeight="false" outlineLevel="0" collapsed="false">
      <c r="A480" s="8" t="n">
        <v>46315.897215162</v>
      </c>
      <c r="B480" s="3" t="s">
        <v>504</v>
      </c>
      <c r="C480" s="0" t="n">
        <v>3</v>
      </c>
      <c r="D480" s="0" t="n">
        <v>104.1</v>
      </c>
      <c r="E480" s="0" t="n">
        <v>0</v>
      </c>
      <c r="F480" s="0" t="n">
        <v>0</v>
      </c>
      <c r="G480" s="0" t="n">
        <v>-3.4</v>
      </c>
      <c r="H480" s="0" t="n">
        <v>0</v>
      </c>
      <c r="I480" s="0" t="n">
        <v>0</v>
      </c>
      <c r="J480" s="0" t="n">
        <v>278</v>
      </c>
      <c r="K480" s="0" t="n">
        <v>-35.3630965</v>
      </c>
      <c r="L480" s="0" t="n">
        <v>149.1637991</v>
      </c>
      <c r="M480" s="0" t="n">
        <v>432.1</v>
      </c>
      <c r="N480" s="3" t="n">
        <f aca="false">(A480-$A$2)*86400</f>
        <v>505.488000134</v>
      </c>
      <c r="O480" s="3" t="n">
        <f aca="false">D480*0.3048</f>
        <v>31.72968</v>
      </c>
      <c r="P480" s="3" t="n">
        <f aca="false">E480*0.44704</f>
        <v>0</v>
      </c>
      <c r="Q480" s="3" t="n">
        <f aca="false">F480*0.44704</f>
        <v>0</v>
      </c>
    </row>
    <row r="481" customFormat="false" ht="15" hidden="false" customHeight="false" outlineLevel="0" collapsed="false">
      <c r="A481" s="8" t="n">
        <v>46315.8972262847</v>
      </c>
      <c r="B481" s="3" t="s">
        <v>505</v>
      </c>
      <c r="C481" s="0" t="n">
        <v>3</v>
      </c>
      <c r="D481" s="0" t="n">
        <v>102.9</v>
      </c>
      <c r="E481" s="0" t="n">
        <v>0</v>
      </c>
      <c r="F481" s="0" t="n">
        <v>0</v>
      </c>
      <c r="G481" s="0" t="n">
        <v>-3.4</v>
      </c>
      <c r="H481" s="0" t="n">
        <v>0</v>
      </c>
      <c r="I481" s="0" t="n">
        <v>0</v>
      </c>
      <c r="J481" s="0" t="n">
        <v>278</v>
      </c>
      <c r="K481" s="0" t="n">
        <v>-35.3630965</v>
      </c>
      <c r="L481" s="0" t="n">
        <v>149.1637991</v>
      </c>
      <c r="M481" s="0" t="n">
        <v>432.1</v>
      </c>
      <c r="N481" s="3" t="n">
        <f aca="false">(A481-$A$2)*86400</f>
        <v>506.448999373</v>
      </c>
      <c r="O481" s="3" t="n">
        <f aca="false">D481*0.3048</f>
        <v>31.36392</v>
      </c>
      <c r="P481" s="3" t="n">
        <f aca="false">E481*0.44704</f>
        <v>0</v>
      </c>
      <c r="Q481" s="3" t="n">
        <f aca="false">F481*0.44704</f>
        <v>0</v>
      </c>
    </row>
    <row r="482" customFormat="false" ht="15" hidden="false" customHeight="false" outlineLevel="0" collapsed="false">
      <c r="A482" s="8" t="n">
        <v>46315.8972382755</v>
      </c>
      <c r="B482" s="3" t="s">
        <v>506</v>
      </c>
      <c r="C482" s="0" t="n">
        <v>3</v>
      </c>
      <c r="D482" s="0" t="n">
        <v>101.6</v>
      </c>
      <c r="E482" s="0" t="n">
        <v>0</v>
      </c>
      <c r="F482" s="0" t="n">
        <v>0</v>
      </c>
      <c r="G482" s="0" t="n">
        <v>-3.4</v>
      </c>
      <c r="H482" s="0" t="n">
        <v>0</v>
      </c>
      <c r="I482" s="0" t="n">
        <v>0</v>
      </c>
      <c r="J482" s="0" t="n">
        <v>278</v>
      </c>
      <c r="K482" s="0" t="n">
        <v>-35.3630965</v>
      </c>
      <c r="L482" s="0" t="n">
        <v>149.1637991</v>
      </c>
      <c r="M482" s="0" t="n">
        <v>432.1</v>
      </c>
      <c r="N482" s="3" t="n">
        <f aca="false">(A482-$A$2)*86400</f>
        <v>507.485000719</v>
      </c>
      <c r="O482" s="3" t="n">
        <f aca="false">D482*0.3048</f>
        <v>30.96768</v>
      </c>
      <c r="P482" s="3" t="n">
        <f aca="false">E482*0.44704</f>
        <v>0</v>
      </c>
      <c r="Q482" s="3" t="n">
        <f aca="false">F482*0.44704</f>
        <v>0</v>
      </c>
    </row>
    <row r="483" customFormat="false" ht="15" hidden="false" customHeight="false" outlineLevel="0" collapsed="false">
      <c r="A483" s="8" t="n">
        <v>46315.8972494213</v>
      </c>
      <c r="B483" s="3" t="s">
        <v>507</v>
      </c>
      <c r="C483" s="0" t="n">
        <v>3</v>
      </c>
      <c r="D483" s="0" t="n">
        <v>101.6</v>
      </c>
      <c r="E483" s="0" t="n">
        <v>0</v>
      </c>
      <c r="F483" s="0" t="n">
        <v>0</v>
      </c>
      <c r="G483" s="0" t="n">
        <v>-3.4</v>
      </c>
      <c r="H483" s="0" t="n">
        <v>0</v>
      </c>
      <c r="I483" s="0" t="n">
        <v>0</v>
      </c>
      <c r="J483" s="0" t="n">
        <v>278</v>
      </c>
      <c r="K483" s="0" t="n">
        <v>-35.3630965</v>
      </c>
      <c r="L483" s="0" t="n">
        <v>149.1637991</v>
      </c>
      <c r="M483" s="0" t="n">
        <v>432.1</v>
      </c>
      <c r="N483" s="3" t="n">
        <f aca="false">(A483-$A$2)*86400</f>
        <v>508.447999041</v>
      </c>
      <c r="O483" s="3" t="n">
        <f aca="false">D483*0.3048</f>
        <v>30.96768</v>
      </c>
      <c r="P483" s="3" t="n">
        <f aca="false">E483*0.44704</f>
        <v>0</v>
      </c>
      <c r="Q483" s="3" t="n">
        <f aca="false">F483*0.44704</f>
        <v>0</v>
      </c>
    </row>
    <row r="484" customFormat="false" ht="15" hidden="false" customHeight="false" outlineLevel="0" collapsed="false">
      <c r="A484" s="8" t="n">
        <v>46315.8972611227</v>
      </c>
      <c r="B484" s="3" t="s">
        <v>508</v>
      </c>
      <c r="C484" s="0" t="n">
        <v>3</v>
      </c>
      <c r="D484" s="0" t="n">
        <v>99.2</v>
      </c>
      <c r="E484" s="0" t="n">
        <v>0</v>
      </c>
      <c r="F484" s="0" t="n">
        <v>0</v>
      </c>
      <c r="G484" s="0" t="n">
        <v>-3.4</v>
      </c>
      <c r="H484" s="0" t="n">
        <v>0</v>
      </c>
      <c r="I484" s="0" t="n">
        <v>0</v>
      </c>
      <c r="J484" s="0" t="n">
        <v>278</v>
      </c>
      <c r="K484" s="0" t="n">
        <v>-35.3630965</v>
      </c>
      <c r="L484" s="0" t="n">
        <v>149.1637991</v>
      </c>
      <c r="M484" s="0" t="n">
        <v>432.1</v>
      </c>
      <c r="N484" s="3" t="n">
        <f aca="false">(A484-$A$2)*86400</f>
        <v>509.459000523</v>
      </c>
      <c r="O484" s="3" t="n">
        <f aca="false">D484*0.3048</f>
        <v>30.23616</v>
      </c>
      <c r="P484" s="3" t="n">
        <f aca="false">E484*0.44704</f>
        <v>0</v>
      </c>
      <c r="Q484" s="3" t="n">
        <f aca="false">F484*0.44704</f>
        <v>0</v>
      </c>
    </row>
    <row r="485" customFormat="false" ht="15" hidden="false" customHeight="false" outlineLevel="0" collapsed="false">
      <c r="A485" s="8" t="n">
        <v>46315.8972725232</v>
      </c>
      <c r="B485" s="3" t="s">
        <v>509</v>
      </c>
      <c r="C485" s="0" t="n">
        <v>3</v>
      </c>
      <c r="D485" s="0" t="n">
        <v>99.2</v>
      </c>
      <c r="E485" s="0" t="n">
        <v>0</v>
      </c>
      <c r="F485" s="0" t="n">
        <v>0</v>
      </c>
      <c r="G485" s="0" t="n">
        <v>-3.4</v>
      </c>
      <c r="H485" s="0" t="n">
        <v>0</v>
      </c>
      <c r="I485" s="0" t="n">
        <v>0</v>
      </c>
      <c r="J485" s="0" t="n">
        <v>278</v>
      </c>
      <c r="K485" s="0" t="n">
        <v>-35.3630965</v>
      </c>
      <c r="L485" s="0" t="n">
        <v>149.1637991</v>
      </c>
      <c r="M485" s="0" t="n">
        <v>432.1</v>
      </c>
      <c r="N485" s="3" t="n">
        <f aca="false">(A485-$A$2)*86400</f>
        <v>510.444000083</v>
      </c>
      <c r="O485" s="3" t="n">
        <f aca="false">D485*0.3048</f>
        <v>30.23616</v>
      </c>
      <c r="P485" s="3" t="n">
        <f aca="false">E485*0.44704</f>
        <v>0</v>
      </c>
      <c r="Q485" s="3" t="n">
        <f aca="false">F485*0.44704</f>
        <v>0</v>
      </c>
    </row>
    <row r="486" customFormat="false" ht="15" hidden="false" customHeight="false" outlineLevel="0" collapsed="false">
      <c r="A486" s="8" t="n">
        <v>46315.8972841204</v>
      </c>
      <c r="B486" s="3" t="s">
        <v>510</v>
      </c>
      <c r="C486" s="0" t="n">
        <v>3</v>
      </c>
      <c r="D486" s="0" t="n">
        <v>97.9</v>
      </c>
      <c r="E486" s="0" t="n">
        <v>0</v>
      </c>
      <c r="F486" s="0" t="n">
        <v>0</v>
      </c>
      <c r="G486" s="0" t="n">
        <v>-3.4</v>
      </c>
      <c r="H486" s="0" t="n">
        <v>0</v>
      </c>
      <c r="I486" s="0" t="n">
        <v>0</v>
      </c>
      <c r="J486" s="0" t="n">
        <v>277</v>
      </c>
      <c r="K486" s="0" t="n">
        <v>-35.3630965</v>
      </c>
      <c r="L486" s="0" t="n">
        <v>149.1637991</v>
      </c>
      <c r="M486" s="0" t="n">
        <v>432.1</v>
      </c>
      <c r="N486" s="3" t="n">
        <f aca="false">(A486-$A$2)*86400</f>
        <v>511.44600003</v>
      </c>
      <c r="O486" s="3" t="n">
        <f aca="false">D486*0.3048</f>
        <v>29.83992</v>
      </c>
      <c r="P486" s="3" t="n">
        <f aca="false">E486*0.44704</f>
        <v>0</v>
      </c>
      <c r="Q486" s="3" t="n">
        <f aca="false">F486*0.44704</f>
        <v>0</v>
      </c>
    </row>
    <row r="487" customFormat="false" ht="15" hidden="false" customHeight="false" outlineLevel="0" collapsed="false">
      <c r="A487" s="8" t="n">
        <v>46315.8972956366</v>
      </c>
      <c r="B487" s="3" t="s">
        <v>511</v>
      </c>
      <c r="C487" s="0" t="n">
        <v>3</v>
      </c>
      <c r="D487" s="0" t="n">
        <v>96.7</v>
      </c>
      <c r="E487" s="0" t="n">
        <v>0</v>
      </c>
      <c r="F487" s="0" t="n">
        <v>0</v>
      </c>
      <c r="G487" s="0" t="n">
        <v>-3.4</v>
      </c>
      <c r="H487" s="0" t="n">
        <v>0</v>
      </c>
      <c r="I487" s="0" t="n">
        <v>0</v>
      </c>
      <c r="J487" s="0" t="n">
        <v>278</v>
      </c>
      <c r="K487" s="0" t="n">
        <v>-35.3630965</v>
      </c>
      <c r="L487" s="0" t="n">
        <v>149.1637991</v>
      </c>
      <c r="M487" s="0" t="n">
        <v>432.1</v>
      </c>
      <c r="N487" s="3" t="n">
        <f aca="false">(A487-$A$2)*86400</f>
        <v>512.441000668</v>
      </c>
      <c r="O487" s="3" t="n">
        <f aca="false">D487*0.3048</f>
        <v>29.47416</v>
      </c>
      <c r="P487" s="3" t="n">
        <f aca="false">E487*0.44704</f>
        <v>0</v>
      </c>
      <c r="Q487" s="3" t="n">
        <f aca="false">F487*0.44704</f>
        <v>0</v>
      </c>
    </row>
    <row r="488" customFormat="false" ht="15" hidden="false" customHeight="false" outlineLevel="0" collapsed="false">
      <c r="A488" s="8" t="n">
        <v>46315.8973073148</v>
      </c>
      <c r="B488" s="3" t="s">
        <v>512</v>
      </c>
      <c r="C488" s="0" t="n">
        <v>3</v>
      </c>
      <c r="D488" s="0" t="n">
        <v>95.5</v>
      </c>
      <c r="E488" s="0" t="n">
        <v>0</v>
      </c>
      <c r="F488" s="0" t="n">
        <v>0</v>
      </c>
      <c r="G488" s="0" t="n">
        <v>-3.4</v>
      </c>
      <c r="H488" s="0" t="n">
        <v>0</v>
      </c>
      <c r="I488" s="0" t="n">
        <v>0</v>
      </c>
      <c r="J488" s="0" t="n">
        <v>278</v>
      </c>
      <c r="K488" s="0" t="n">
        <v>-35.3630965</v>
      </c>
      <c r="L488" s="0" t="n">
        <v>149.1637991</v>
      </c>
      <c r="M488" s="0" t="n">
        <v>432.1</v>
      </c>
      <c r="N488" s="3" t="n">
        <f aca="false">(A488-$A$2)*86400</f>
        <v>513.450000551</v>
      </c>
      <c r="O488" s="3" t="n">
        <f aca="false">D488*0.3048</f>
        <v>29.1084</v>
      </c>
      <c r="P488" s="3" t="n">
        <f aca="false">E488*0.44704</f>
        <v>0</v>
      </c>
      <c r="Q488" s="3" t="n">
        <f aca="false">F488*0.44704</f>
        <v>0</v>
      </c>
    </row>
    <row r="489" customFormat="false" ht="15" hidden="false" customHeight="false" outlineLevel="0" collapsed="false">
      <c r="A489" s="8" t="n">
        <v>46315.89731875</v>
      </c>
      <c r="B489" s="3" t="s">
        <v>513</v>
      </c>
      <c r="C489" s="0" t="n">
        <v>3</v>
      </c>
      <c r="D489" s="0" t="n">
        <v>94.3</v>
      </c>
      <c r="E489" s="0" t="n">
        <v>0</v>
      </c>
      <c r="F489" s="0" t="n">
        <v>0</v>
      </c>
      <c r="G489" s="0" t="n">
        <v>-3.4</v>
      </c>
      <c r="H489" s="0" t="n">
        <v>0</v>
      </c>
      <c r="I489" s="0" t="n">
        <v>0</v>
      </c>
      <c r="J489" s="0" t="n">
        <v>277</v>
      </c>
      <c r="K489" s="0" t="n">
        <v>-35.3630965</v>
      </c>
      <c r="L489" s="0" t="n">
        <v>149.1637991</v>
      </c>
      <c r="M489" s="0" t="n">
        <v>432.1</v>
      </c>
      <c r="N489" s="3" t="n">
        <f aca="false">(A489-$A$2)*86400</f>
        <v>514.437999995</v>
      </c>
      <c r="O489" s="3" t="n">
        <f aca="false">D489*0.3048</f>
        <v>28.74264</v>
      </c>
      <c r="P489" s="3" t="n">
        <f aca="false">E489*0.44704</f>
        <v>0</v>
      </c>
      <c r="Q489" s="3" t="n">
        <f aca="false">F489*0.44704</f>
        <v>0</v>
      </c>
    </row>
    <row r="490" customFormat="false" ht="15" hidden="false" customHeight="false" outlineLevel="0" collapsed="false">
      <c r="A490" s="8" t="n">
        <v>46315.8973304167</v>
      </c>
      <c r="B490" s="3" t="s">
        <v>514</v>
      </c>
      <c r="C490" s="0" t="n">
        <v>3</v>
      </c>
      <c r="D490" s="0" t="n">
        <v>93</v>
      </c>
      <c r="E490" s="0" t="n">
        <v>0</v>
      </c>
      <c r="F490" s="0" t="n">
        <v>0</v>
      </c>
      <c r="G490" s="0" t="n">
        <v>-3.4</v>
      </c>
      <c r="H490" s="0" t="n">
        <v>0</v>
      </c>
      <c r="I490" s="0" t="n">
        <v>0</v>
      </c>
      <c r="J490" s="0" t="n">
        <v>278</v>
      </c>
      <c r="K490" s="0" t="n">
        <v>-35.3630965</v>
      </c>
      <c r="L490" s="0" t="n">
        <v>149.1637991</v>
      </c>
      <c r="M490" s="0" t="n">
        <v>432.1</v>
      </c>
      <c r="N490" s="3" t="n">
        <f aca="false">(A490-$A$2)*86400</f>
        <v>515.445999079</v>
      </c>
      <c r="O490" s="3" t="n">
        <f aca="false">D490*0.3048</f>
        <v>28.3464</v>
      </c>
      <c r="P490" s="3" t="n">
        <f aca="false">E490*0.44704</f>
        <v>0</v>
      </c>
      <c r="Q490" s="3" t="n">
        <f aca="false">F490*0.44704</f>
        <v>0</v>
      </c>
    </row>
    <row r="491" customFormat="false" ht="15" hidden="false" customHeight="false" outlineLevel="0" collapsed="false">
      <c r="A491" s="8" t="n">
        <v>46315.897342338</v>
      </c>
      <c r="B491" s="3" t="s">
        <v>515</v>
      </c>
      <c r="C491" s="0" t="n">
        <v>3</v>
      </c>
      <c r="D491" s="0" t="n">
        <v>91.8</v>
      </c>
      <c r="E491" s="0" t="n">
        <v>0</v>
      </c>
      <c r="F491" s="0" t="n">
        <v>0</v>
      </c>
      <c r="G491" s="0" t="n">
        <v>-3.4</v>
      </c>
      <c r="H491" s="0" t="n">
        <v>0</v>
      </c>
      <c r="I491" s="0" t="n">
        <v>0</v>
      </c>
      <c r="J491" s="0" t="n">
        <v>278</v>
      </c>
      <c r="K491" s="0" t="n">
        <v>-35.3630965</v>
      </c>
      <c r="L491" s="0" t="n">
        <v>149.1637991</v>
      </c>
      <c r="M491" s="0" t="n">
        <v>432.1</v>
      </c>
      <c r="N491" s="3" t="n">
        <f aca="false">(A491-$A$2)*86400</f>
        <v>516.475999401</v>
      </c>
      <c r="O491" s="3" t="n">
        <f aca="false">D491*0.3048</f>
        <v>27.98064</v>
      </c>
      <c r="P491" s="3" t="n">
        <f aca="false">E491*0.44704</f>
        <v>0</v>
      </c>
      <c r="Q491" s="3" t="n">
        <f aca="false">F491*0.44704</f>
        <v>0</v>
      </c>
    </row>
    <row r="492" customFormat="false" ht="15" hidden="false" customHeight="false" outlineLevel="0" collapsed="false">
      <c r="A492" s="8" t="n">
        <v>46315.897353912</v>
      </c>
      <c r="B492" s="3" t="s">
        <v>516</v>
      </c>
      <c r="C492" s="0" t="n">
        <v>3</v>
      </c>
      <c r="D492" s="0" t="n">
        <v>90.6</v>
      </c>
      <c r="E492" s="0" t="n">
        <v>0</v>
      </c>
      <c r="F492" s="0" t="n">
        <v>0</v>
      </c>
      <c r="G492" s="0" t="n">
        <v>-3.4</v>
      </c>
      <c r="H492" s="0" t="n">
        <v>0</v>
      </c>
      <c r="I492" s="0" t="n">
        <v>0</v>
      </c>
      <c r="J492" s="0" t="n">
        <v>277</v>
      </c>
      <c r="K492" s="0" t="n">
        <v>-35.3630965</v>
      </c>
      <c r="L492" s="0" t="n">
        <v>149.1637991</v>
      </c>
      <c r="M492" s="0" t="n">
        <v>432.1</v>
      </c>
      <c r="N492" s="3" t="n">
        <f aca="false">(A492-$A$2)*86400</f>
        <v>517.475999007</v>
      </c>
      <c r="O492" s="3" t="n">
        <f aca="false">D492*0.3048</f>
        <v>27.61488</v>
      </c>
      <c r="P492" s="3" t="n">
        <f aca="false">E492*0.44704</f>
        <v>0</v>
      </c>
      <c r="Q492" s="3" t="n">
        <f aca="false">F492*0.44704</f>
        <v>0</v>
      </c>
    </row>
    <row r="493" customFormat="false" ht="15" hidden="false" customHeight="false" outlineLevel="0" collapsed="false">
      <c r="A493" s="8" t="n">
        <v>46315.8973651736</v>
      </c>
      <c r="B493" s="3" t="s">
        <v>517</v>
      </c>
      <c r="C493" s="0" t="n">
        <v>3</v>
      </c>
      <c r="D493" s="0" t="n">
        <v>89.3</v>
      </c>
      <c r="E493" s="0" t="n">
        <v>0</v>
      </c>
      <c r="F493" s="0" t="n">
        <v>0</v>
      </c>
      <c r="G493" s="0" t="n">
        <v>-3.4</v>
      </c>
      <c r="H493" s="0" t="n">
        <v>0</v>
      </c>
      <c r="I493" s="0" t="n">
        <v>0</v>
      </c>
      <c r="J493" s="0" t="n">
        <v>278</v>
      </c>
      <c r="K493" s="0" t="n">
        <v>-35.3630965</v>
      </c>
      <c r="L493" s="0" t="n">
        <v>149.1637991</v>
      </c>
      <c r="M493" s="0" t="n">
        <v>432.1</v>
      </c>
      <c r="N493" s="3" t="n">
        <f aca="false">(A493-$A$2)*86400</f>
        <v>518.448999663</v>
      </c>
      <c r="O493" s="3" t="n">
        <f aca="false">D493*0.3048</f>
        <v>27.21864</v>
      </c>
      <c r="P493" s="3" t="n">
        <f aca="false">E493*0.44704</f>
        <v>0</v>
      </c>
      <c r="Q493" s="3" t="n">
        <f aca="false">F493*0.44704</f>
        <v>0</v>
      </c>
    </row>
    <row r="494" customFormat="false" ht="15" hidden="false" customHeight="false" outlineLevel="0" collapsed="false">
      <c r="A494" s="8" t="n">
        <v>46315.8973770023</v>
      </c>
      <c r="B494" s="3" t="s">
        <v>518</v>
      </c>
      <c r="C494" s="0" t="n">
        <v>3</v>
      </c>
      <c r="D494" s="0" t="n">
        <v>89.3</v>
      </c>
      <c r="E494" s="0" t="n">
        <v>0</v>
      </c>
      <c r="F494" s="0" t="n">
        <v>0</v>
      </c>
      <c r="G494" s="0" t="n">
        <v>-3.4</v>
      </c>
      <c r="H494" s="0" t="n">
        <v>0</v>
      </c>
      <c r="I494" s="0" t="n">
        <v>0</v>
      </c>
      <c r="J494" s="0" t="n">
        <v>278</v>
      </c>
      <c r="K494" s="0" t="n">
        <v>-35.3630965</v>
      </c>
      <c r="L494" s="0" t="n">
        <v>149.1637991</v>
      </c>
      <c r="M494" s="0" t="n">
        <v>432.1</v>
      </c>
      <c r="N494" s="3" t="n">
        <f aca="false">(A494-$A$2)*86400</f>
        <v>519.47099925</v>
      </c>
      <c r="O494" s="3" t="n">
        <f aca="false">D494*0.3048</f>
        <v>27.21864</v>
      </c>
      <c r="P494" s="3" t="n">
        <f aca="false">E494*0.44704</f>
        <v>0</v>
      </c>
      <c r="Q494" s="3" t="n">
        <f aca="false">F494*0.44704</f>
        <v>0</v>
      </c>
    </row>
    <row r="495" customFormat="false" ht="15" hidden="false" customHeight="false" outlineLevel="0" collapsed="false">
      <c r="A495" s="8" t="n">
        <v>46315.8973881945</v>
      </c>
      <c r="B495" s="3" t="s">
        <v>519</v>
      </c>
      <c r="C495" s="0" t="n">
        <v>3</v>
      </c>
      <c r="D495" s="0" t="n">
        <v>88.1</v>
      </c>
      <c r="E495" s="0" t="n">
        <v>0</v>
      </c>
      <c r="F495" s="0" t="n">
        <v>0</v>
      </c>
      <c r="G495" s="0" t="n">
        <v>-3.4</v>
      </c>
      <c r="H495" s="0" t="n">
        <v>0</v>
      </c>
      <c r="I495" s="0" t="n">
        <v>0</v>
      </c>
      <c r="J495" s="0" t="n">
        <v>277</v>
      </c>
      <c r="K495" s="0" t="n">
        <v>-35.3630965</v>
      </c>
      <c r="L495" s="0" t="n">
        <v>149.1637991</v>
      </c>
      <c r="M495" s="0" t="n">
        <v>432.1</v>
      </c>
      <c r="N495" s="3" t="n">
        <f aca="false">(A495-$A$2)*86400</f>
        <v>520.43800014</v>
      </c>
      <c r="O495" s="3" t="n">
        <f aca="false">D495*0.3048</f>
        <v>26.85288</v>
      </c>
      <c r="P495" s="3" t="n">
        <f aca="false">E495*0.44704</f>
        <v>0</v>
      </c>
      <c r="Q495" s="3" t="n">
        <f aca="false">F495*0.44704</f>
        <v>0</v>
      </c>
    </row>
    <row r="496" customFormat="false" ht="15" hidden="false" customHeight="false" outlineLevel="0" collapsed="false">
      <c r="A496" s="8" t="n">
        <v>46315.8974000347</v>
      </c>
      <c r="B496" s="3" t="s">
        <v>520</v>
      </c>
      <c r="C496" s="0" t="n">
        <v>3</v>
      </c>
      <c r="D496" s="0" t="n">
        <v>86.9</v>
      </c>
      <c r="E496" s="0" t="n">
        <v>0</v>
      </c>
      <c r="F496" s="0" t="n">
        <v>0</v>
      </c>
      <c r="G496" s="0" t="n">
        <v>-3.4</v>
      </c>
      <c r="H496" s="0" t="n">
        <v>0</v>
      </c>
      <c r="I496" s="0" t="n">
        <v>0</v>
      </c>
      <c r="J496" s="0" t="n">
        <v>278</v>
      </c>
      <c r="K496" s="0" t="n">
        <v>-35.3630965</v>
      </c>
      <c r="L496" s="0" t="n">
        <v>149.1637991</v>
      </c>
      <c r="M496" s="0" t="n">
        <v>432.1</v>
      </c>
      <c r="N496" s="3" t="n">
        <f aca="false">(A496-$A$2)*86400</f>
        <v>521.460999897</v>
      </c>
      <c r="O496" s="3" t="n">
        <f aca="false">D496*0.3048</f>
        <v>26.48712</v>
      </c>
      <c r="P496" s="3" t="n">
        <f aca="false">E496*0.44704</f>
        <v>0</v>
      </c>
      <c r="Q496" s="3" t="n">
        <f aca="false">F496*0.44704</f>
        <v>0</v>
      </c>
    </row>
    <row r="497" customFormat="false" ht="15" hidden="false" customHeight="false" outlineLevel="0" collapsed="false">
      <c r="A497" s="8" t="n">
        <v>46315.8974116667</v>
      </c>
      <c r="B497" s="3" t="s">
        <v>521</v>
      </c>
      <c r="C497" s="0" t="n">
        <v>3</v>
      </c>
      <c r="D497" s="0" t="n">
        <v>85.6</v>
      </c>
      <c r="E497" s="0" t="n">
        <v>0</v>
      </c>
      <c r="F497" s="0" t="n">
        <v>0</v>
      </c>
      <c r="G497" s="0" t="n">
        <v>-3.4</v>
      </c>
      <c r="H497" s="0" t="n">
        <v>0</v>
      </c>
      <c r="I497" s="0" t="n">
        <v>0</v>
      </c>
      <c r="J497" s="0" t="n">
        <v>278</v>
      </c>
      <c r="K497" s="0" t="n">
        <v>-35.3630965</v>
      </c>
      <c r="L497" s="0" t="n">
        <v>149.1637991</v>
      </c>
      <c r="M497" s="0" t="n">
        <v>432.1</v>
      </c>
      <c r="N497" s="3" t="n">
        <f aca="false">(A497-$A$2)*86400</f>
        <v>522.465999098</v>
      </c>
      <c r="O497" s="3" t="n">
        <f aca="false">D497*0.3048</f>
        <v>26.09088</v>
      </c>
      <c r="P497" s="3" t="n">
        <f aca="false">E497*0.44704</f>
        <v>0</v>
      </c>
      <c r="Q497" s="3" t="n">
        <f aca="false">F497*0.44704</f>
        <v>0</v>
      </c>
    </row>
    <row r="498" customFormat="false" ht="15" hidden="false" customHeight="false" outlineLevel="0" collapsed="false">
      <c r="A498" s="8" t="n">
        <v>46315.8974231134</v>
      </c>
      <c r="B498" s="3" t="s">
        <v>522</v>
      </c>
      <c r="C498" s="0" t="n">
        <v>3</v>
      </c>
      <c r="D498" s="0" t="n">
        <v>84.4</v>
      </c>
      <c r="E498" s="0" t="n">
        <v>0</v>
      </c>
      <c r="F498" s="0" t="n">
        <v>0</v>
      </c>
      <c r="G498" s="0" t="n">
        <v>-3.4</v>
      </c>
      <c r="H498" s="0" t="n">
        <v>0</v>
      </c>
      <c r="I498" s="0" t="n">
        <v>0</v>
      </c>
      <c r="J498" s="0" t="n">
        <v>277</v>
      </c>
      <c r="K498" s="0" t="n">
        <v>-35.3630965</v>
      </c>
      <c r="L498" s="0" t="n">
        <v>149.1637991</v>
      </c>
      <c r="M498" s="0" t="n">
        <v>432.1</v>
      </c>
      <c r="N498" s="3" t="n">
        <f aca="false">(A498-$A$2)*86400</f>
        <v>523.45499997</v>
      </c>
      <c r="O498" s="3" t="n">
        <f aca="false">D498*0.3048</f>
        <v>25.72512</v>
      </c>
      <c r="P498" s="3" t="n">
        <f aca="false">E498*0.44704</f>
        <v>0</v>
      </c>
      <c r="Q498" s="3" t="n">
        <f aca="false">F498*0.44704</f>
        <v>0</v>
      </c>
    </row>
    <row r="499" customFormat="false" ht="15" hidden="false" customHeight="false" outlineLevel="0" collapsed="false">
      <c r="A499" s="8" t="n">
        <v>46315.8974346412</v>
      </c>
      <c r="B499" s="3" t="s">
        <v>523</v>
      </c>
      <c r="C499" s="0" t="n">
        <v>3</v>
      </c>
      <c r="D499" s="0" t="n">
        <v>83.2</v>
      </c>
      <c r="E499" s="0" t="n">
        <v>0</v>
      </c>
      <c r="F499" s="0" t="n">
        <v>0</v>
      </c>
      <c r="G499" s="0" t="n">
        <v>-3.4</v>
      </c>
      <c r="H499" s="0" t="n">
        <v>0</v>
      </c>
      <c r="I499" s="0" t="n">
        <v>0</v>
      </c>
      <c r="J499" s="0" t="n">
        <v>277</v>
      </c>
      <c r="K499" s="0" t="n">
        <v>-35.3630965</v>
      </c>
      <c r="L499" s="0" t="n">
        <v>149.1637991</v>
      </c>
      <c r="M499" s="0" t="n">
        <v>432.1</v>
      </c>
      <c r="N499" s="3" t="n">
        <f aca="false">(A499-$A$2)*86400</f>
        <v>524.45100015</v>
      </c>
      <c r="O499" s="3" t="n">
        <f aca="false">D499*0.3048</f>
        <v>25.35936</v>
      </c>
      <c r="P499" s="3" t="n">
        <f aca="false">E499*0.44704</f>
        <v>0</v>
      </c>
      <c r="Q499" s="3" t="n">
        <f aca="false">F499*0.44704</f>
        <v>0</v>
      </c>
    </row>
    <row r="500" customFormat="false" ht="15" hidden="false" customHeight="false" outlineLevel="0" collapsed="false">
      <c r="A500" s="8" t="n">
        <v>46315.8974465046</v>
      </c>
      <c r="B500" s="3" t="s">
        <v>524</v>
      </c>
      <c r="C500" s="0" t="n">
        <v>3</v>
      </c>
      <c r="D500" s="0" t="n">
        <v>82</v>
      </c>
      <c r="E500" s="0" t="n">
        <v>0</v>
      </c>
      <c r="F500" s="0" t="n">
        <v>0</v>
      </c>
      <c r="G500" s="0" t="n">
        <v>-3.4</v>
      </c>
      <c r="H500" s="0" t="n">
        <v>0</v>
      </c>
      <c r="I500" s="0" t="n">
        <v>0</v>
      </c>
      <c r="J500" s="0" t="n">
        <v>277</v>
      </c>
      <c r="K500" s="0" t="n">
        <v>-35.3630965</v>
      </c>
      <c r="L500" s="0" t="n">
        <v>149.1637991</v>
      </c>
      <c r="M500" s="0" t="n">
        <v>432.1</v>
      </c>
      <c r="N500" s="3" t="n">
        <f aca="false">(A500-$A$2)*86400</f>
        <v>525.475999619</v>
      </c>
      <c r="O500" s="3" t="n">
        <f aca="false">D500*0.3048</f>
        <v>24.9936</v>
      </c>
      <c r="P500" s="3" t="n">
        <f aca="false">E500*0.44704</f>
        <v>0</v>
      </c>
      <c r="Q500" s="3" t="n">
        <f aca="false">F500*0.44704</f>
        <v>0</v>
      </c>
    </row>
    <row r="501" customFormat="false" ht="15" hidden="false" customHeight="false" outlineLevel="0" collapsed="false">
      <c r="A501" s="8" t="n">
        <v>46315.8974576157</v>
      </c>
      <c r="B501" s="3" t="s">
        <v>525</v>
      </c>
      <c r="C501" s="0" t="n">
        <v>3</v>
      </c>
      <c r="D501" s="0" t="n">
        <v>80.7</v>
      </c>
      <c r="E501" s="0" t="n">
        <v>0</v>
      </c>
      <c r="F501" s="0" t="n">
        <v>0</v>
      </c>
      <c r="G501" s="0" t="n">
        <v>-3.4</v>
      </c>
      <c r="H501" s="0" t="n">
        <v>0</v>
      </c>
      <c r="I501" s="0" t="n">
        <v>0</v>
      </c>
      <c r="J501" s="0" t="n">
        <v>277</v>
      </c>
      <c r="K501" s="0" t="n">
        <v>-35.3630965</v>
      </c>
      <c r="L501" s="0" t="n">
        <v>149.1637991</v>
      </c>
      <c r="M501" s="0" t="n">
        <v>432.1</v>
      </c>
      <c r="N501" s="3" t="n">
        <f aca="false">(A501-$A$2)*86400</f>
        <v>526.435999944</v>
      </c>
      <c r="O501" s="3" t="n">
        <f aca="false">D501*0.3048</f>
        <v>24.59736</v>
      </c>
      <c r="P501" s="3" t="n">
        <f aca="false">E501*0.44704</f>
        <v>0</v>
      </c>
      <c r="Q501" s="3" t="n">
        <f aca="false">F501*0.44704</f>
        <v>0</v>
      </c>
    </row>
    <row r="502" customFormat="false" ht="15" hidden="false" customHeight="false" outlineLevel="0" collapsed="false">
      <c r="A502" s="8" t="n">
        <v>46315.8974693171</v>
      </c>
      <c r="B502" s="3" t="s">
        <v>526</v>
      </c>
      <c r="C502" s="0" t="n">
        <v>3</v>
      </c>
      <c r="D502" s="0" t="n">
        <v>79.5</v>
      </c>
      <c r="E502" s="0" t="n">
        <v>0</v>
      </c>
      <c r="F502" s="0" t="n">
        <v>0</v>
      </c>
      <c r="G502" s="0" t="n">
        <v>-3.4</v>
      </c>
      <c r="H502" s="0" t="n">
        <v>0</v>
      </c>
      <c r="I502" s="0" t="n">
        <v>0</v>
      </c>
      <c r="J502" s="0" t="n">
        <v>278</v>
      </c>
      <c r="K502" s="0" t="n">
        <v>-35.3630965</v>
      </c>
      <c r="L502" s="0" t="n">
        <v>149.1637991</v>
      </c>
      <c r="M502" s="0" t="n">
        <v>432.1</v>
      </c>
      <c r="N502" s="3" t="n">
        <f aca="false">(A502-$A$2)*86400</f>
        <v>527.447000169</v>
      </c>
      <c r="O502" s="3" t="n">
        <f aca="false">D502*0.3048</f>
        <v>24.2316</v>
      </c>
      <c r="P502" s="3" t="n">
        <f aca="false">E502*0.44704</f>
        <v>0</v>
      </c>
      <c r="Q502" s="3" t="n">
        <f aca="false">F502*0.44704</f>
        <v>0</v>
      </c>
    </row>
    <row r="503" customFormat="false" ht="15" hidden="false" customHeight="false" outlineLevel="0" collapsed="false">
      <c r="A503" s="8" t="n">
        <v>46315.8974813889</v>
      </c>
      <c r="B503" s="3" t="s">
        <v>527</v>
      </c>
      <c r="C503" s="0" t="n">
        <v>3</v>
      </c>
      <c r="D503" s="0" t="n">
        <v>78.2</v>
      </c>
      <c r="E503" s="0" t="n">
        <v>0</v>
      </c>
      <c r="F503" s="0" t="n">
        <v>0</v>
      </c>
      <c r="G503" s="0" t="n">
        <v>-3.4</v>
      </c>
      <c r="H503" s="0" t="n">
        <v>0</v>
      </c>
      <c r="I503" s="0" t="n">
        <v>0</v>
      </c>
      <c r="J503" s="0" t="n">
        <v>278</v>
      </c>
      <c r="K503" s="0" t="n">
        <v>-35.3630965</v>
      </c>
      <c r="L503" s="0" t="n">
        <v>149.1637991</v>
      </c>
      <c r="M503" s="0" t="n">
        <v>432.1</v>
      </c>
      <c r="N503" s="3" t="n">
        <f aca="false">(A503-$A$2)*86400</f>
        <v>528.490000194</v>
      </c>
      <c r="O503" s="3" t="n">
        <f aca="false">D503*0.3048</f>
        <v>23.83536</v>
      </c>
      <c r="P503" s="3" t="n">
        <f aca="false">E503*0.44704</f>
        <v>0</v>
      </c>
      <c r="Q503" s="3" t="n">
        <f aca="false">F503*0.44704</f>
        <v>0</v>
      </c>
    </row>
    <row r="504" customFormat="false" ht="15" hidden="false" customHeight="false" outlineLevel="0" collapsed="false">
      <c r="A504" s="8" t="n">
        <v>46315.8975230556</v>
      </c>
      <c r="B504" s="3" t="s">
        <v>528</v>
      </c>
      <c r="C504" s="0" t="n">
        <v>3</v>
      </c>
      <c r="D504" s="0" t="n">
        <v>75.8</v>
      </c>
      <c r="E504" s="0" t="n">
        <v>0</v>
      </c>
      <c r="F504" s="0" t="n">
        <v>0</v>
      </c>
      <c r="G504" s="0" t="n">
        <v>-3.4</v>
      </c>
      <c r="H504" s="0" t="n">
        <v>0</v>
      </c>
      <c r="I504" s="0" t="n">
        <v>0</v>
      </c>
      <c r="J504" s="0" t="n">
        <v>277</v>
      </c>
      <c r="K504" s="0" t="n">
        <v>-35.3630965</v>
      </c>
      <c r="L504" s="0" t="n">
        <v>149.1637991</v>
      </c>
      <c r="M504" s="0" t="n">
        <v>432.1</v>
      </c>
      <c r="N504" s="3" t="n">
        <f aca="false">(A504-$A$2)*86400</f>
        <v>532.090000156</v>
      </c>
      <c r="O504" s="3" t="n">
        <f aca="false">D504*0.3048</f>
        <v>23.10384</v>
      </c>
      <c r="P504" s="3" t="n">
        <f aca="false">E504*0.44704</f>
        <v>0</v>
      </c>
      <c r="Q504" s="3" t="n">
        <f aca="false">F504*0.44704</f>
        <v>0</v>
      </c>
    </row>
    <row r="505" customFormat="false" ht="15" hidden="false" customHeight="false" outlineLevel="0" collapsed="false">
      <c r="A505" s="8" t="n">
        <v>46315.8975337269</v>
      </c>
      <c r="B505" s="3" t="s">
        <v>529</v>
      </c>
      <c r="C505" s="0" t="n">
        <v>3</v>
      </c>
      <c r="D505" s="0" t="n">
        <v>74.6</v>
      </c>
      <c r="E505" s="0" t="n">
        <v>0</v>
      </c>
      <c r="F505" s="0" t="n">
        <v>0</v>
      </c>
      <c r="G505" s="0" t="n">
        <v>-3.4</v>
      </c>
      <c r="H505" s="0" t="n">
        <v>0</v>
      </c>
      <c r="I505" s="0" t="n">
        <v>0</v>
      </c>
      <c r="J505" s="0" t="n">
        <v>277</v>
      </c>
      <c r="K505" s="0" t="n">
        <v>-35.3630965</v>
      </c>
      <c r="L505" s="0" t="n">
        <v>149.1637991</v>
      </c>
      <c r="M505" s="0" t="n">
        <v>432.1</v>
      </c>
      <c r="N505" s="3" t="n">
        <f aca="false">(A505-$A$2)*86400</f>
        <v>533.011999656</v>
      </c>
      <c r="O505" s="3" t="n">
        <f aca="false">D505*0.3048</f>
        <v>22.73808</v>
      </c>
      <c r="P505" s="3" t="n">
        <f aca="false">E505*0.44704</f>
        <v>0</v>
      </c>
      <c r="Q505" s="3" t="n">
        <f aca="false">F505*0.44704</f>
        <v>0</v>
      </c>
    </row>
    <row r="506" customFormat="false" ht="15" hidden="false" customHeight="false" outlineLevel="0" collapsed="false">
      <c r="A506" s="8" t="n">
        <v>46315.8975454861</v>
      </c>
      <c r="B506" s="3" t="s">
        <v>530</v>
      </c>
      <c r="C506" s="0" t="n">
        <v>3</v>
      </c>
      <c r="D506" s="0" t="n">
        <v>73.3</v>
      </c>
      <c r="E506" s="0" t="n">
        <v>0</v>
      </c>
      <c r="F506" s="0" t="n">
        <v>0</v>
      </c>
      <c r="G506" s="0" t="n">
        <v>-3.4</v>
      </c>
      <c r="H506" s="0" t="n">
        <v>0</v>
      </c>
      <c r="I506" s="0" t="n">
        <v>0</v>
      </c>
      <c r="J506" s="0" t="n">
        <v>277</v>
      </c>
      <c r="K506" s="0" t="n">
        <v>-35.3630965</v>
      </c>
      <c r="L506" s="0" t="n">
        <v>149.1637991</v>
      </c>
      <c r="M506" s="0" t="n">
        <v>432.1</v>
      </c>
      <c r="N506" s="3" t="n">
        <f aca="false">(A506-$A$2)*86400</f>
        <v>534.027999476</v>
      </c>
      <c r="O506" s="3" t="n">
        <f aca="false">D506*0.3048</f>
        <v>22.34184</v>
      </c>
      <c r="P506" s="3" t="n">
        <f aca="false">E506*0.44704</f>
        <v>0</v>
      </c>
      <c r="Q506" s="3" t="n">
        <f aca="false">F506*0.44704</f>
        <v>0</v>
      </c>
    </row>
    <row r="507" customFormat="false" ht="15" hidden="false" customHeight="false" outlineLevel="0" collapsed="false">
      <c r="A507" s="8" t="n">
        <v>46315.897556331</v>
      </c>
      <c r="B507" s="3" t="s">
        <v>530</v>
      </c>
      <c r="C507" s="0" t="n">
        <v>3</v>
      </c>
      <c r="D507" s="0" t="n">
        <v>73.3</v>
      </c>
      <c r="E507" s="0" t="n">
        <v>0</v>
      </c>
      <c r="F507" s="0" t="n">
        <v>0</v>
      </c>
      <c r="G507" s="0" t="n">
        <v>-3.4</v>
      </c>
      <c r="H507" s="0" t="n">
        <v>0</v>
      </c>
      <c r="I507" s="0" t="n">
        <v>0</v>
      </c>
      <c r="J507" s="0" t="n">
        <v>277</v>
      </c>
      <c r="K507" s="0" t="n">
        <v>-35.3630965</v>
      </c>
      <c r="L507" s="0" t="n">
        <v>149.1637991</v>
      </c>
      <c r="M507" s="0" t="n">
        <v>432.1</v>
      </c>
      <c r="N507" s="3" t="n">
        <f aca="false">(A507-$A$2)*86400</f>
        <v>534.965000278</v>
      </c>
      <c r="O507" s="3" t="n">
        <f aca="false">D507*0.3048</f>
        <v>22.34184</v>
      </c>
      <c r="P507" s="3" t="n">
        <f aca="false">E507*0.44704</f>
        <v>0</v>
      </c>
      <c r="Q507" s="3" t="n">
        <f aca="false">F507*0.44704</f>
        <v>0</v>
      </c>
    </row>
    <row r="508" customFormat="false" ht="15" hidden="false" customHeight="false" outlineLevel="0" collapsed="false">
      <c r="A508" s="8" t="n">
        <v>46315.8975679861</v>
      </c>
      <c r="B508" s="3" t="s">
        <v>531</v>
      </c>
      <c r="C508" s="0" t="n">
        <v>3</v>
      </c>
      <c r="D508" s="0" t="n">
        <v>72.1</v>
      </c>
      <c r="E508" s="0" t="n">
        <v>0</v>
      </c>
      <c r="F508" s="0" t="n">
        <v>0</v>
      </c>
      <c r="G508" s="0" t="n">
        <v>-3.4</v>
      </c>
      <c r="H508" s="0" t="n">
        <v>0</v>
      </c>
      <c r="I508" s="0" t="n">
        <v>0</v>
      </c>
      <c r="J508" s="0" t="n">
        <v>277</v>
      </c>
      <c r="K508" s="0" t="n">
        <v>-35.3630965</v>
      </c>
      <c r="L508" s="0" t="n">
        <v>149.1637991</v>
      </c>
      <c r="M508" s="0" t="n">
        <v>432.1</v>
      </c>
      <c r="N508" s="3" t="n">
        <f aca="false">(A508-$A$2)*86400</f>
        <v>535.97199982</v>
      </c>
      <c r="O508" s="3" t="n">
        <f aca="false">D508*0.3048</f>
        <v>21.97608</v>
      </c>
      <c r="P508" s="3" t="n">
        <f aca="false">E508*0.44704</f>
        <v>0</v>
      </c>
      <c r="Q508" s="3" t="n">
        <f aca="false">F508*0.44704</f>
        <v>0</v>
      </c>
    </row>
    <row r="509" customFormat="false" ht="15" hidden="false" customHeight="false" outlineLevel="0" collapsed="false">
      <c r="A509" s="8" t="n">
        <v>46315.8975796181</v>
      </c>
      <c r="B509" s="3" t="s">
        <v>532</v>
      </c>
      <c r="C509" s="0" t="n">
        <v>3</v>
      </c>
      <c r="D509" s="0" t="n">
        <v>70.9</v>
      </c>
      <c r="E509" s="0" t="n">
        <v>0</v>
      </c>
      <c r="F509" s="0" t="n">
        <v>0</v>
      </c>
      <c r="G509" s="0" t="n">
        <v>-3.4</v>
      </c>
      <c r="H509" s="0" t="n">
        <v>0</v>
      </c>
      <c r="I509" s="0" t="n">
        <v>0</v>
      </c>
      <c r="J509" s="0" t="n">
        <v>278</v>
      </c>
      <c r="K509" s="0" t="n">
        <v>-35.3630965</v>
      </c>
      <c r="L509" s="0" t="n">
        <v>149.1637991</v>
      </c>
      <c r="M509" s="0" t="n">
        <v>432.1</v>
      </c>
      <c r="N509" s="3" t="n">
        <f aca="false">(A509-$A$2)*86400</f>
        <v>536.976999649</v>
      </c>
      <c r="O509" s="3" t="n">
        <f aca="false">D509*0.3048</f>
        <v>21.61032</v>
      </c>
      <c r="P509" s="3" t="n">
        <f aca="false">E509*0.44704</f>
        <v>0</v>
      </c>
      <c r="Q509" s="3" t="n">
        <f aca="false">F509*0.44704</f>
        <v>0</v>
      </c>
    </row>
    <row r="510" customFormat="false" ht="15" hidden="false" customHeight="false" outlineLevel="0" collapsed="false">
      <c r="A510" s="8" t="n">
        <v>46315.8975917014</v>
      </c>
      <c r="B510" s="3" t="s">
        <v>533</v>
      </c>
      <c r="C510" s="0" t="n">
        <v>3</v>
      </c>
      <c r="D510" s="0" t="n">
        <v>69.7</v>
      </c>
      <c r="E510" s="0" t="n">
        <v>0</v>
      </c>
      <c r="F510" s="0" t="n">
        <v>0</v>
      </c>
      <c r="G510" s="0" t="n">
        <v>-3.4</v>
      </c>
      <c r="H510" s="0" t="n">
        <v>0</v>
      </c>
      <c r="I510" s="0" t="n">
        <v>0</v>
      </c>
      <c r="J510" s="0" t="n">
        <v>278</v>
      </c>
      <c r="K510" s="0" t="n">
        <v>-35.3630965</v>
      </c>
      <c r="L510" s="0" t="n">
        <v>149.1637991</v>
      </c>
      <c r="M510" s="0" t="n">
        <v>432.1</v>
      </c>
      <c r="N510" s="3" t="n">
        <f aca="false">(A510-$A$2)*86400</f>
        <v>538.020999846</v>
      </c>
      <c r="O510" s="3" t="n">
        <f aca="false">D510*0.3048</f>
        <v>21.24456</v>
      </c>
      <c r="P510" s="3" t="n">
        <f aca="false">E510*0.44704</f>
        <v>0</v>
      </c>
      <c r="Q510" s="3" t="n">
        <f aca="false">F510*0.44704</f>
        <v>0</v>
      </c>
    </row>
    <row r="511" customFormat="false" ht="15" hidden="false" customHeight="false" outlineLevel="0" collapsed="false">
      <c r="A511" s="8" t="n">
        <v>46315.8976027778</v>
      </c>
      <c r="B511" s="3" t="s">
        <v>533</v>
      </c>
      <c r="C511" s="0" t="n">
        <v>3</v>
      </c>
      <c r="D511" s="0" t="n">
        <v>69.7</v>
      </c>
      <c r="E511" s="0" t="n">
        <v>0</v>
      </c>
      <c r="F511" s="0" t="n">
        <v>0</v>
      </c>
      <c r="G511" s="0" t="n">
        <v>-3.4</v>
      </c>
      <c r="H511" s="0" t="n">
        <v>0</v>
      </c>
      <c r="I511" s="0" t="n">
        <v>0</v>
      </c>
      <c r="J511" s="0" t="n">
        <v>278</v>
      </c>
      <c r="K511" s="0" t="n">
        <v>-35.3630965</v>
      </c>
      <c r="L511" s="0" t="n">
        <v>149.1637991</v>
      </c>
      <c r="M511" s="0" t="n">
        <v>432.1</v>
      </c>
      <c r="N511" s="3" t="n">
        <f aca="false">(A511-$A$2)*86400</f>
        <v>538.978000287</v>
      </c>
      <c r="O511" s="3" t="n">
        <f aca="false">D511*0.3048</f>
        <v>21.24456</v>
      </c>
      <c r="P511" s="3" t="n">
        <f aca="false">E511*0.44704</f>
        <v>0</v>
      </c>
      <c r="Q511" s="3" t="n">
        <f aca="false">F511*0.44704</f>
        <v>0</v>
      </c>
    </row>
    <row r="512" customFormat="false" ht="15" hidden="false" customHeight="false" outlineLevel="0" collapsed="false">
      <c r="A512" s="8" t="n">
        <v>46315.8976145833</v>
      </c>
      <c r="B512" s="3" t="s">
        <v>534</v>
      </c>
      <c r="C512" s="0" t="n">
        <v>3</v>
      </c>
      <c r="D512" s="0" t="n">
        <v>68.4</v>
      </c>
      <c r="E512" s="0" t="n">
        <v>0</v>
      </c>
      <c r="F512" s="0" t="n">
        <v>0</v>
      </c>
      <c r="G512" s="0" t="n">
        <v>-3.4</v>
      </c>
      <c r="H512" s="0" t="n">
        <v>0</v>
      </c>
      <c r="I512" s="0" t="n">
        <v>0</v>
      </c>
      <c r="J512" s="0" t="n">
        <v>277</v>
      </c>
      <c r="K512" s="0" t="n">
        <v>-35.3630965</v>
      </c>
      <c r="L512" s="0" t="n">
        <v>149.1637991</v>
      </c>
      <c r="M512" s="0" t="n">
        <v>432.1</v>
      </c>
      <c r="N512" s="3" t="n">
        <f aca="false">(A512-$A$2)*86400</f>
        <v>539.998000161</v>
      </c>
      <c r="O512" s="3" t="n">
        <f aca="false">D512*0.3048</f>
        <v>20.84832</v>
      </c>
      <c r="P512" s="3" t="n">
        <f aca="false">E512*0.44704</f>
        <v>0</v>
      </c>
      <c r="Q512" s="3" t="n">
        <f aca="false">F512*0.44704</f>
        <v>0</v>
      </c>
    </row>
    <row r="513" customFormat="false" ht="15" hidden="false" customHeight="false" outlineLevel="0" collapsed="false">
      <c r="A513" s="8" t="n">
        <v>46315.8976259144</v>
      </c>
      <c r="B513" s="3" t="s">
        <v>535</v>
      </c>
      <c r="C513" s="0" t="n">
        <v>3</v>
      </c>
      <c r="D513" s="0" t="n">
        <v>67.2</v>
      </c>
      <c r="E513" s="0" t="n">
        <v>0</v>
      </c>
      <c r="F513" s="0" t="n">
        <v>0</v>
      </c>
      <c r="G513" s="0" t="n">
        <v>-3.4</v>
      </c>
      <c r="H513" s="0" t="n">
        <v>0</v>
      </c>
      <c r="I513" s="0" t="n">
        <v>0</v>
      </c>
      <c r="J513" s="0" t="n">
        <v>277</v>
      </c>
      <c r="K513" s="0" t="n">
        <v>-35.3630965</v>
      </c>
      <c r="L513" s="0" t="n">
        <v>149.1637991</v>
      </c>
      <c r="M513" s="0" t="n">
        <v>432.1</v>
      </c>
      <c r="N513" s="3" t="n">
        <f aca="false">(A513-$A$2)*86400</f>
        <v>540.976999956</v>
      </c>
      <c r="O513" s="3" t="n">
        <f aca="false">D513*0.3048</f>
        <v>20.48256</v>
      </c>
      <c r="P513" s="3" t="n">
        <f aca="false">E513*0.44704</f>
        <v>0</v>
      </c>
      <c r="Q513" s="3" t="n">
        <f aca="false">F513*0.44704</f>
        <v>0</v>
      </c>
    </row>
    <row r="514" customFormat="false" ht="15" hidden="false" customHeight="false" outlineLevel="0" collapsed="false">
      <c r="A514" s="8" t="n">
        <v>46315.8976375463</v>
      </c>
      <c r="B514" s="3" t="s">
        <v>536</v>
      </c>
      <c r="C514" s="0" t="n">
        <v>3</v>
      </c>
      <c r="D514" s="0" t="n">
        <v>67.2</v>
      </c>
      <c r="E514" s="0" t="n">
        <v>0</v>
      </c>
      <c r="F514" s="0" t="n">
        <v>0</v>
      </c>
      <c r="G514" s="0" t="n">
        <v>-3.4</v>
      </c>
      <c r="H514" s="0" t="n">
        <v>0</v>
      </c>
      <c r="I514" s="0" t="n">
        <v>0</v>
      </c>
      <c r="J514" s="0" t="n">
        <v>277</v>
      </c>
      <c r="K514" s="0" t="n">
        <v>-35.3630965</v>
      </c>
      <c r="L514" s="0" t="n">
        <v>149.1637991</v>
      </c>
      <c r="M514" s="0" t="n">
        <v>432.1</v>
      </c>
      <c r="N514" s="3" t="n">
        <f aca="false">(A514-$A$2)*86400</f>
        <v>541.982000414</v>
      </c>
      <c r="O514" s="3" t="n">
        <f aca="false">D514*0.3048</f>
        <v>20.48256</v>
      </c>
      <c r="P514" s="3" t="n">
        <f aca="false">E514*0.44704</f>
        <v>0</v>
      </c>
      <c r="Q514" s="3" t="n">
        <f aca="false">F514*0.44704</f>
        <v>0</v>
      </c>
    </row>
    <row r="515" customFormat="false" ht="15" hidden="false" customHeight="false" outlineLevel="0" collapsed="false">
      <c r="A515" s="8" t="n">
        <v>46315.8976491667</v>
      </c>
      <c r="B515" s="3" t="s">
        <v>537</v>
      </c>
      <c r="C515" s="0" t="n">
        <v>3</v>
      </c>
      <c r="D515" s="0" t="n">
        <v>65.9</v>
      </c>
      <c r="E515" s="0" t="n">
        <v>0</v>
      </c>
      <c r="F515" s="0" t="n">
        <v>0</v>
      </c>
      <c r="G515" s="0" t="n">
        <v>-3.4</v>
      </c>
      <c r="H515" s="0" t="n">
        <v>0</v>
      </c>
      <c r="I515" s="0" t="n">
        <v>0</v>
      </c>
      <c r="J515" s="0" t="n">
        <v>278</v>
      </c>
      <c r="K515" s="0" t="n">
        <v>-35.3630965</v>
      </c>
      <c r="L515" s="0" t="n">
        <v>149.1637991</v>
      </c>
      <c r="M515" s="0" t="n">
        <v>432.1</v>
      </c>
      <c r="N515" s="3" t="n">
        <f aca="false">(A515-$A$2)*86400</f>
        <v>542.986000073</v>
      </c>
      <c r="O515" s="3" t="n">
        <f aca="false">D515*0.3048</f>
        <v>20.08632</v>
      </c>
      <c r="P515" s="3" t="n">
        <f aca="false">E515*0.44704</f>
        <v>0</v>
      </c>
      <c r="Q515" s="3" t="n">
        <f aca="false">F515*0.44704</f>
        <v>0</v>
      </c>
    </row>
    <row r="516" customFormat="false" ht="15" hidden="false" customHeight="false" outlineLevel="0" collapsed="false">
      <c r="A516" s="8" t="n">
        <v>46315.897660625</v>
      </c>
      <c r="B516" s="3" t="s">
        <v>538</v>
      </c>
      <c r="C516" s="0" t="n">
        <v>3</v>
      </c>
      <c r="D516" s="0" t="n">
        <v>64.7</v>
      </c>
      <c r="E516" s="0" t="n">
        <v>0</v>
      </c>
      <c r="F516" s="0" t="n">
        <v>0</v>
      </c>
      <c r="G516" s="0" t="n">
        <v>-3.4</v>
      </c>
      <c r="H516" s="0" t="n">
        <v>0</v>
      </c>
      <c r="I516" s="0" t="n">
        <v>0</v>
      </c>
      <c r="J516" s="0" t="n">
        <v>278</v>
      </c>
      <c r="K516" s="0" t="n">
        <v>-35.3630965</v>
      </c>
      <c r="L516" s="0" t="n">
        <v>149.1637991</v>
      </c>
      <c r="M516" s="0" t="n">
        <v>432.1</v>
      </c>
      <c r="N516" s="3" t="n">
        <f aca="false">(A516-$A$2)*86400</f>
        <v>543.975999858</v>
      </c>
      <c r="O516" s="3" t="n">
        <f aca="false">D516*0.3048</f>
        <v>19.72056</v>
      </c>
      <c r="P516" s="3" t="n">
        <f aca="false">E516*0.44704</f>
        <v>0</v>
      </c>
      <c r="Q516" s="3" t="n">
        <f aca="false">F516*0.44704</f>
        <v>0</v>
      </c>
    </row>
    <row r="517" customFormat="false" ht="15" hidden="false" customHeight="false" outlineLevel="0" collapsed="false">
      <c r="A517" s="8" t="n">
        <v>46315.897671875</v>
      </c>
      <c r="B517" s="3" t="s">
        <v>539</v>
      </c>
      <c r="C517" s="0" t="n">
        <v>3</v>
      </c>
      <c r="D517" s="0" t="n">
        <v>64.7</v>
      </c>
      <c r="E517" s="0" t="n">
        <v>0</v>
      </c>
      <c r="F517" s="0" t="n">
        <v>0</v>
      </c>
      <c r="G517" s="0" t="n">
        <v>-3.4</v>
      </c>
      <c r="H517" s="0" t="n">
        <v>0</v>
      </c>
      <c r="I517" s="0" t="n">
        <v>0</v>
      </c>
      <c r="J517" s="0" t="n">
        <v>278</v>
      </c>
      <c r="K517" s="0" t="n">
        <v>-35.3630965</v>
      </c>
      <c r="L517" s="0" t="n">
        <v>149.1637991</v>
      </c>
      <c r="M517" s="0" t="n">
        <v>432.1</v>
      </c>
      <c r="N517" s="3" t="n">
        <f aca="false">(A517-$A$2)*86400</f>
        <v>544.947999715</v>
      </c>
      <c r="O517" s="3" t="n">
        <f aca="false">D517*0.3048</f>
        <v>19.72056</v>
      </c>
      <c r="P517" s="3" t="n">
        <f aca="false">E517*0.44704</f>
        <v>0</v>
      </c>
      <c r="Q517" s="3" t="n">
        <f aca="false">F517*0.44704</f>
        <v>0</v>
      </c>
    </row>
    <row r="518" customFormat="false" ht="15" hidden="false" customHeight="false" outlineLevel="0" collapsed="false">
      <c r="A518" s="8" t="n">
        <v>46315.8976839815</v>
      </c>
      <c r="B518" s="3" t="s">
        <v>540</v>
      </c>
      <c r="C518" s="0" t="n">
        <v>3</v>
      </c>
      <c r="D518" s="0" t="n">
        <v>63.5</v>
      </c>
      <c r="E518" s="0" t="n">
        <v>0</v>
      </c>
      <c r="F518" s="0" t="n">
        <v>0</v>
      </c>
      <c r="G518" s="0" t="n">
        <v>-3.4</v>
      </c>
      <c r="H518" s="0" t="n">
        <v>0</v>
      </c>
      <c r="I518" s="0" t="n">
        <v>0</v>
      </c>
      <c r="J518" s="0" t="n">
        <v>277</v>
      </c>
      <c r="K518" s="0" t="n">
        <v>-35.3630965</v>
      </c>
      <c r="L518" s="0" t="n">
        <v>149.1637991</v>
      </c>
      <c r="M518" s="0" t="n">
        <v>432.1</v>
      </c>
      <c r="N518" s="3" t="n">
        <f aca="false">(A518-$A$2)*86400</f>
        <v>545.993999624</v>
      </c>
      <c r="O518" s="3" t="n">
        <f aca="false">D518*0.3048</f>
        <v>19.3548</v>
      </c>
      <c r="P518" s="3" t="n">
        <f aca="false">E518*0.44704</f>
        <v>0</v>
      </c>
      <c r="Q518" s="3" t="n">
        <f aca="false">F518*0.44704</f>
        <v>0</v>
      </c>
    </row>
    <row r="519" customFormat="false" ht="15" hidden="false" customHeight="false" outlineLevel="0" collapsed="false">
      <c r="A519" s="8" t="n">
        <v>46315.8976951273</v>
      </c>
      <c r="B519" s="3" t="s">
        <v>541</v>
      </c>
      <c r="C519" s="0" t="n">
        <v>3</v>
      </c>
      <c r="D519" s="0" t="n">
        <v>62.3</v>
      </c>
      <c r="E519" s="0" t="n">
        <v>0</v>
      </c>
      <c r="F519" s="0" t="n">
        <v>0</v>
      </c>
      <c r="G519" s="0" t="n">
        <v>-3.4</v>
      </c>
      <c r="H519" s="0" t="n">
        <v>0</v>
      </c>
      <c r="I519" s="0" t="n">
        <v>0</v>
      </c>
      <c r="J519" s="0" t="n">
        <v>277</v>
      </c>
      <c r="K519" s="0" t="n">
        <v>-35.3630965</v>
      </c>
      <c r="L519" s="0" t="n">
        <v>149.1637991</v>
      </c>
      <c r="M519" s="0" t="n">
        <v>432.1</v>
      </c>
      <c r="N519" s="3" t="n">
        <f aca="false">(A519-$A$2)*86400</f>
        <v>546.956999204</v>
      </c>
      <c r="O519" s="3" t="n">
        <f aca="false">D519*0.3048</f>
        <v>18.98904</v>
      </c>
      <c r="P519" s="3" t="n">
        <f aca="false">E519*0.44704</f>
        <v>0</v>
      </c>
      <c r="Q519" s="3" t="n">
        <f aca="false">F519*0.44704</f>
        <v>0</v>
      </c>
    </row>
    <row r="520" customFormat="false" ht="15" hidden="false" customHeight="false" outlineLevel="0" collapsed="false">
      <c r="A520" s="8" t="n">
        <v>46315.8977068287</v>
      </c>
      <c r="B520" s="3" t="s">
        <v>542</v>
      </c>
      <c r="C520" s="0" t="n">
        <v>3</v>
      </c>
      <c r="D520" s="0" t="n">
        <v>61</v>
      </c>
      <c r="E520" s="0" t="n">
        <v>0</v>
      </c>
      <c r="F520" s="0" t="n">
        <v>0</v>
      </c>
      <c r="G520" s="0" t="n">
        <v>-3.4</v>
      </c>
      <c r="H520" s="0" t="n">
        <v>0</v>
      </c>
      <c r="I520" s="0" t="n">
        <v>0</v>
      </c>
      <c r="J520" s="0" t="n">
        <v>277</v>
      </c>
      <c r="K520" s="0" t="n">
        <v>-35.3630965</v>
      </c>
      <c r="L520" s="0" t="n">
        <v>149.1637991</v>
      </c>
      <c r="M520" s="0" t="n">
        <v>432.1</v>
      </c>
      <c r="N520" s="3" t="n">
        <f aca="false">(A520-$A$2)*86400</f>
        <v>547.968000685</v>
      </c>
      <c r="O520" s="3" t="n">
        <f aca="false">D520*0.3048</f>
        <v>18.5928</v>
      </c>
      <c r="P520" s="3" t="n">
        <f aca="false">E520*0.44704</f>
        <v>0</v>
      </c>
      <c r="Q520" s="3" t="n">
        <f aca="false">F520*0.44704</f>
        <v>0</v>
      </c>
    </row>
    <row r="521" customFormat="false" ht="15" hidden="false" customHeight="false" outlineLevel="0" collapsed="false">
      <c r="A521" s="8" t="n">
        <v>46315.8977183218</v>
      </c>
      <c r="B521" s="3" t="s">
        <v>543</v>
      </c>
      <c r="C521" s="0" t="n">
        <v>3</v>
      </c>
      <c r="D521" s="0" t="n">
        <v>59.8</v>
      </c>
      <c r="E521" s="0" t="n">
        <v>0</v>
      </c>
      <c r="F521" s="0" t="n">
        <v>0</v>
      </c>
      <c r="G521" s="0" t="n">
        <v>-3.4</v>
      </c>
      <c r="H521" s="0" t="n">
        <v>0</v>
      </c>
      <c r="I521" s="0" t="n">
        <v>0</v>
      </c>
      <c r="J521" s="0" t="n">
        <v>277</v>
      </c>
      <c r="K521" s="0" t="n">
        <v>-35.3630965</v>
      </c>
      <c r="L521" s="0" t="n">
        <v>149.1637991</v>
      </c>
      <c r="M521" s="0" t="n">
        <v>432.1</v>
      </c>
      <c r="N521" s="3" t="n">
        <f aca="false">(A521-$A$2)*86400</f>
        <v>548.960999725</v>
      </c>
      <c r="O521" s="3" t="n">
        <f aca="false">D521*0.3048</f>
        <v>18.22704</v>
      </c>
      <c r="P521" s="3" t="n">
        <f aca="false">E521*0.44704</f>
        <v>0</v>
      </c>
      <c r="Q521" s="3" t="n">
        <f aca="false">F521*0.44704</f>
        <v>0</v>
      </c>
    </row>
    <row r="522" customFormat="false" ht="15" hidden="false" customHeight="false" outlineLevel="0" collapsed="false">
      <c r="A522" s="8" t="n">
        <v>46315.8977301389</v>
      </c>
      <c r="B522" s="3" t="s">
        <v>544</v>
      </c>
      <c r="C522" s="0" t="n">
        <v>3</v>
      </c>
      <c r="D522" s="0" t="n">
        <v>59.8</v>
      </c>
      <c r="E522" s="0" t="n">
        <v>0</v>
      </c>
      <c r="F522" s="0" t="n">
        <v>0</v>
      </c>
      <c r="G522" s="0" t="n">
        <v>-3.4</v>
      </c>
      <c r="H522" s="0" t="n">
        <v>0</v>
      </c>
      <c r="I522" s="0" t="n">
        <v>0</v>
      </c>
      <c r="J522" s="0" t="n">
        <v>277</v>
      </c>
      <c r="K522" s="0" t="n">
        <v>-35.3630965</v>
      </c>
      <c r="L522" s="0" t="n">
        <v>149.1637991</v>
      </c>
      <c r="M522" s="0" t="n">
        <v>432.1</v>
      </c>
      <c r="N522" s="3" t="n">
        <f aca="false">(A522-$A$2)*86400</f>
        <v>549.981999769</v>
      </c>
      <c r="O522" s="3" t="n">
        <f aca="false">D522*0.3048</f>
        <v>18.22704</v>
      </c>
      <c r="P522" s="3" t="n">
        <f aca="false">E522*0.44704</f>
        <v>0</v>
      </c>
      <c r="Q522" s="3" t="n">
        <f aca="false">F522*0.44704</f>
        <v>0</v>
      </c>
    </row>
    <row r="523" customFormat="false" ht="15" hidden="false" customHeight="false" outlineLevel="0" collapsed="false">
      <c r="A523" s="8" t="n">
        <v>46315.8977415046</v>
      </c>
      <c r="B523" s="3" t="s">
        <v>545</v>
      </c>
      <c r="C523" s="0" t="n">
        <v>3</v>
      </c>
      <c r="D523" s="0" t="n">
        <v>58.6</v>
      </c>
      <c r="E523" s="0" t="n">
        <v>0</v>
      </c>
      <c r="F523" s="0" t="n">
        <v>0</v>
      </c>
      <c r="G523" s="0" t="n">
        <v>-3.4</v>
      </c>
      <c r="H523" s="0" t="n">
        <v>0</v>
      </c>
      <c r="I523" s="0" t="n">
        <v>0</v>
      </c>
      <c r="J523" s="0" t="n">
        <v>278</v>
      </c>
      <c r="K523" s="0" t="n">
        <v>-35.3630965</v>
      </c>
      <c r="L523" s="0" t="n">
        <v>149.1637991</v>
      </c>
      <c r="M523" s="0" t="n">
        <v>432.1</v>
      </c>
      <c r="N523" s="3" t="n">
        <f aca="false">(A523-$A$2)*86400</f>
        <v>550.964000076</v>
      </c>
      <c r="O523" s="3" t="n">
        <f aca="false">D523*0.3048</f>
        <v>17.86128</v>
      </c>
      <c r="P523" s="3" t="n">
        <f aca="false">E523*0.44704</f>
        <v>0</v>
      </c>
      <c r="Q523" s="3" t="n">
        <f aca="false">F523*0.44704</f>
        <v>0</v>
      </c>
    </row>
    <row r="524" customFormat="false" ht="15" hidden="false" customHeight="false" outlineLevel="0" collapsed="false">
      <c r="A524" s="8" t="n">
        <v>46315.8977528472</v>
      </c>
      <c r="B524" s="3" t="s">
        <v>546</v>
      </c>
      <c r="C524" s="0" t="n">
        <v>3</v>
      </c>
      <c r="D524" s="0" t="n">
        <v>57.3</v>
      </c>
      <c r="E524" s="0" t="n">
        <v>0</v>
      </c>
      <c r="F524" s="0" t="n">
        <v>0</v>
      </c>
      <c r="G524" s="0" t="n">
        <v>-3.4</v>
      </c>
      <c r="H524" s="0" t="n">
        <v>0</v>
      </c>
      <c r="I524" s="0" t="n">
        <v>0</v>
      </c>
      <c r="J524" s="0" t="n">
        <v>277</v>
      </c>
      <c r="K524" s="0" t="n">
        <v>-35.3630965</v>
      </c>
      <c r="L524" s="0" t="n">
        <v>149.1637991</v>
      </c>
      <c r="M524" s="0" t="n">
        <v>432.1</v>
      </c>
      <c r="N524" s="3" t="n">
        <f aca="false">(A524-$A$2)*86400</f>
        <v>551.943999412</v>
      </c>
      <c r="O524" s="3" t="n">
        <f aca="false">D524*0.3048</f>
        <v>17.46504</v>
      </c>
      <c r="P524" s="3" t="n">
        <f aca="false">E524*0.44704</f>
        <v>0</v>
      </c>
      <c r="Q524" s="3" t="n">
        <f aca="false">F524*0.44704</f>
        <v>0</v>
      </c>
    </row>
    <row r="525" customFormat="false" ht="15" hidden="false" customHeight="false" outlineLevel="0" collapsed="false">
      <c r="A525" s="8" t="n">
        <v>46315.8977652199</v>
      </c>
      <c r="B525" s="3" t="s">
        <v>547</v>
      </c>
      <c r="C525" s="0" t="n">
        <v>3</v>
      </c>
      <c r="D525" s="0" t="n">
        <v>56.1</v>
      </c>
      <c r="E525" s="0" t="n">
        <v>0</v>
      </c>
      <c r="F525" s="0" t="n">
        <v>0</v>
      </c>
      <c r="G525" s="0" t="n">
        <v>-3.4</v>
      </c>
      <c r="H525" s="0" t="n">
        <v>0</v>
      </c>
      <c r="I525" s="0" t="n">
        <v>0</v>
      </c>
      <c r="J525" s="0" t="n">
        <v>277</v>
      </c>
      <c r="K525" s="0" t="n">
        <v>-35.3630965</v>
      </c>
      <c r="L525" s="0" t="n">
        <v>149.1637991</v>
      </c>
      <c r="M525" s="0" t="n">
        <v>432.1</v>
      </c>
      <c r="N525" s="3" t="n">
        <f aca="false">(A525-$A$2)*86400</f>
        <v>553.013000101</v>
      </c>
      <c r="O525" s="3" t="n">
        <f aca="false">D525*0.3048</f>
        <v>17.09928</v>
      </c>
      <c r="P525" s="3" t="n">
        <f aca="false">E525*0.44704</f>
        <v>0</v>
      </c>
      <c r="Q525" s="3" t="n">
        <f aca="false">F525*0.44704</f>
        <v>0</v>
      </c>
    </row>
    <row r="526" customFormat="false" ht="15" hidden="false" customHeight="false" outlineLevel="0" collapsed="false">
      <c r="A526" s="8" t="n">
        <v>46315.8977761921</v>
      </c>
      <c r="B526" s="3" t="s">
        <v>547</v>
      </c>
      <c r="C526" s="0" t="n">
        <v>3</v>
      </c>
      <c r="D526" s="0" t="n">
        <v>56.1</v>
      </c>
      <c r="E526" s="0" t="n">
        <v>0</v>
      </c>
      <c r="F526" s="0" t="n">
        <v>0</v>
      </c>
      <c r="G526" s="0" t="n">
        <v>-3.4</v>
      </c>
      <c r="H526" s="0" t="n">
        <v>0</v>
      </c>
      <c r="I526" s="0" t="n">
        <v>0</v>
      </c>
      <c r="J526" s="0" t="n">
        <v>277</v>
      </c>
      <c r="K526" s="0" t="n">
        <v>-35.3630965</v>
      </c>
      <c r="L526" s="0" t="n">
        <v>149.1637991</v>
      </c>
      <c r="M526" s="0" t="n">
        <v>432.1</v>
      </c>
      <c r="N526" s="3" t="n">
        <f aca="false">(A526-$A$2)*86400</f>
        <v>553.960999636</v>
      </c>
      <c r="O526" s="3" t="n">
        <f aca="false">D526*0.3048</f>
        <v>17.09928</v>
      </c>
      <c r="P526" s="3" t="n">
        <f aca="false">E526*0.44704</f>
        <v>0</v>
      </c>
      <c r="Q526" s="3" t="n">
        <f aca="false">F526*0.44704</f>
        <v>0</v>
      </c>
    </row>
    <row r="527" customFormat="false" ht="15" hidden="false" customHeight="false" outlineLevel="0" collapsed="false">
      <c r="A527" s="8" t="n">
        <v>46315.8977876736</v>
      </c>
      <c r="B527" s="3" t="s">
        <v>548</v>
      </c>
      <c r="C527" s="0" t="n">
        <v>3</v>
      </c>
      <c r="D527" s="0" t="n">
        <v>54.9</v>
      </c>
      <c r="E527" s="0" t="n">
        <v>0</v>
      </c>
      <c r="F527" s="0" t="n">
        <v>0</v>
      </c>
      <c r="G527" s="0" t="n">
        <v>-3.4</v>
      </c>
      <c r="H527" s="0" t="n">
        <v>0</v>
      </c>
      <c r="I527" s="0" t="n">
        <v>0</v>
      </c>
      <c r="J527" s="0" t="n">
        <v>277</v>
      </c>
      <c r="K527" s="0" t="n">
        <v>-35.3630965</v>
      </c>
      <c r="L527" s="0" t="n">
        <v>149.1637991</v>
      </c>
      <c r="M527" s="0" t="n">
        <v>432.1</v>
      </c>
      <c r="N527" s="3" t="n">
        <f aca="false">(A527-$A$2)*86400</f>
        <v>554.952999763</v>
      </c>
      <c r="O527" s="3" t="n">
        <f aca="false">D527*0.3048</f>
        <v>16.73352</v>
      </c>
      <c r="P527" s="3" t="n">
        <f aca="false">E527*0.44704</f>
        <v>0</v>
      </c>
      <c r="Q527" s="3" t="n">
        <f aca="false">F527*0.44704</f>
        <v>0</v>
      </c>
    </row>
    <row r="528" customFormat="false" ht="15" hidden="false" customHeight="false" outlineLevel="0" collapsed="false">
      <c r="A528" s="8" t="n">
        <v>46315.8977994907</v>
      </c>
      <c r="B528" s="3" t="s">
        <v>549</v>
      </c>
      <c r="C528" s="0" t="n">
        <v>3</v>
      </c>
      <c r="D528" s="0" t="n">
        <v>53.6</v>
      </c>
      <c r="E528" s="0" t="n">
        <v>0</v>
      </c>
      <c r="F528" s="0" t="n">
        <v>0</v>
      </c>
      <c r="G528" s="0" t="n">
        <v>-3.4</v>
      </c>
      <c r="H528" s="0" t="n">
        <v>0</v>
      </c>
      <c r="I528" s="0" t="n">
        <v>0</v>
      </c>
      <c r="J528" s="0" t="n">
        <v>277</v>
      </c>
      <c r="K528" s="0" t="n">
        <v>-35.3630965</v>
      </c>
      <c r="L528" s="0" t="n">
        <v>149.1637991</v>
      </c>
      <c r="M528" s="0" t="n">
        <v>432.1</v>
      </c>
      <c r="N528" s="3" t="n">
        <f aca="false">(A528-$A$2)*86400</f>
        <v>555.973999807</v>
      </c>
      <c r="O528" s="3" t="n">
        <f aca="false">D528*0.3048</f>
        <v>16.33728</v>
      </c>
      <c r="P528" s="3" t="n">
        <f aca="false">E528*0.44704</f>
        <v>0</v>
      </c>
      <c r="Q528" s="3" t="n">
        <f aca="false">F528*0.44704</f>
        <v>0</v>
      </c>
    </row>
    <row r="529" customFormat="false" ht="15" hidden="false" customHeight="false" outlineLevel="0" collapsed="false">
      <c r="A529" s="8" t="n">
        <v>46315.8978111343</v>
      </c>
      <c r="B529" s="3" t="s">
        <v>550</v>
      </c>
      <c r="C529" s="0" t="n">
        <v>3</v>
      </c>
      <c r="D529" s="0" t="n">
        <v>52.4</v>
      </c>
      <c r="E529" s="0" t="n">
        <v>0</v>
      </c>
      <c r="F529" s="0" t="n">
        <v>0</v>
      </c>
      <c r="G529" s="0" t="n">
        <v>-3.4</v>
      </c>
      <c r="H529" s="0" t="n">
        <v>0</v>
      </c>
      <c r="I529" s="0" t="n">
        <v>0</v>
      </c>
      <c r="J529" s="0" t="n">
        <v>278</v>
      </c>
      <c r="K529" s="0" t="n">
        <v>-35.3630965</v>
      </c>
      <c r="L529" s="0" t="n">
        <v>149.1637991</v>
      </c>
      <c r="M529" s="0" t="n">
        <v>432.1</v>
      </c>
      <c r="N529" s="3" t="n">
        <f aca="false">(A529-$A$2)*86400</f>
        <v>556.979999807</v>
      </c>
      <c r="O529" s="3" t="n">
        <f aca="false">D529*0.3048</f>
        <v>15.97152</v>
      </c>
      <c r="P529" s="3" t="n">
        <f aca="false">E529*0.44704</f>
        <v>0</v>
      </c>
      <c r="Q529" s="3" t="n">
        <f aca="false">F529*0.44704</f>
        <v>0</v>
      </c>
    </row>
    <row r="530" customFormat="false" ht="15" hidden="false" customHeight="false" outlineLevel="0" collapsed="false">
      <c r="A530" s="8" t="n">
        <v>46315.8978223611</v>
      </c>
      <c r="B530" s="3" t="s">
        <v>551</v>
      </c>
      <c r="C530" s="0" t="n">
        <v>3</v>
      </c>
      <c r="D530" s="0" t="n">
        <v>52.4</v>
      </c>
      <c r="E530" s="0" t="n">
        <v>0</v>
      </c>
      <c r="F530" s="0" t="n">
        <v>0</v>
      </c>
      <c r="G530" s="0" t="n">
        <v>-3.4</v>
      </c>
      <c r="H530" s="0" t="n">
        <v>0</v>
      </c>
      <c r="I530" s="0" t="n">
        <v>0</v>
      </c>
      <c r="J530" s="0" t="n">
        <v>278</v>
      </c>
      <c r="K530" s="0" t="n">
        <v>-35.3630965</v>
      </c>
      <c r="L530" s="0" t="n">
        <v>149.1637991</v>
      </c>
      <c r="M530" s="0" t="n">
        <v>432.1</v>
      </c>
      <c r="N530" s="3" t="n">
        <f aca="false">(A530-$A$2)*86400</f>
        <v>557.949999952</v>
      </c>
      <c r="O530" s="3" t="n">
        <f aca="false">D530*0.3048</f>
        <v>15.97152</v>
      </c>
      <c r="P530" s="3" t="n">
        <f aca="false">E530*0.44704</f>
        <v>0</v>
      </c>
      <c r="Q530" s="3" t="n">
        <f aca="false">F530*0.44704</f>
        <v>0</v>
      </c>
    </row>
    <row r="531" customFormat="false" ht="15" hidden="false" customHeight="false" outlineLevel="0" collapsed="false">
      <c r="A531" s="8" t="n">
        <v>46315.8978339005</v>
      </c>
      <c r="B531" s="3" t="s">
        <v>552</v>
      </c>
      <c r="C531" s="0" t="n">
        <v>3</v>
      </c>
      <c r="D531" s="0" t="n">
        <v>51.2</v>
      </c>
      <c r="E531" s="0" t="n">
        <v>0</v>
      </c>
      <c r="F531" s="0" t="n">
        <v>0</v>
      </c>
      <c r="G531" s="0" t="n">
        <v>-3.4</v>
      </c>
      <c r="H531" s="0" t="n">
        <v>0</v>
      </c>
      <c r="I531" s="0" t="n">
        <v>0</v>
      </c>
      <c r="J531" s="0" t="n">
        <v>277</v>
      </c>
      <c r="K531" s="0" t="n">
        <v>-35.3630965</v>
      </c>
      <c r="L531" s="0" t="n">
        <v>149.1637991</v>
      </c>
      <c r="M531" s="0" t="n">
        <v>432.1</v>
      </c>
      <c r="N531" s="3" t="n">
        <f aca="false">(A531-$A$2)*86400</f>
        <v>558.946999674</v>
      </c>
      <c r="O531" s="3" t="n">
        <f aca="false">D531*0.3048</f>
        <v>15.60576</v>
      </c>
      <c r="P531" s="3" t="n">
        <f aca="false">E531*0.44704</f>
        <v>0</v>
      </c>
      <c r="Q531" s="3" t="n">
        <f aca="false">F531*0.44704</f>
        <v>0</v>
      </c>
    </row>
    <row r="532" customFormat="false" ht="15" hidden="false" customHeight="false" outlineLevel="0" collapsed="false">
      <c r="A532" s="8" t="n">
        <v>46315.8978460417</v>
      </c>
      <c r="B532" s="3" t="s">
        <v>553</v>
      </c>
      <c r="C532" s="0" t="n">
        <v>3</v>
      </c>
      <c r="D532" s="0" t="n">
        <v>50</v>
      </c>
      <c r="E532" s="0" t="n">
        <v>0</v>
      </c>
      <c r="F532" s="0" t="n">
        <v>0</v>
      </c>
      <c r="G532" s="0" t="n">
        <v>-3.4</v>
      </c>
      <c r="H532" s="0" t="n">
        <v>0</v>
      </c>
      <c r="I532" s="0" t="n">
        <v>0</v>
      </c>
      <c r="J532" s="0" t="n">
        <v>277</v>
      </c>
      <c r="K532" s="0" t="n">
        <v>-35.3630965</v>
      </c>
      <c r="L532" s="0" t="n">
        <v>149.1637991</v>
      </c>
      <c r="M532" s="0" t="n">
        <v>432.1</v>
      </c>
      <c r="N532" s="3" t="n">
        <f aca="false">(A532-$A$2)*86400</f>
        <v>559.996000095</v>
      </c>
      <c r="O532" s="3" t="n">
        <f aca="false">D532*0.3048</f>
        <v>15.24</v>
      </c>
      <c r="P532" s="3" t="n">
        <f aca="false">E532*0.44704</f>
        <v>0</v>
      </c>
      <c r="Q532" s="3" t="n">
        <f aca="false">F532*0.44704</f>
        <v>0</v>
      </c>
    </row>
    <row r="533" customFormat="false" ht="15" hidden="false" customHeight="false" outlineLevel="0" collapsed="false">
      <c r="A533" s="8" t="n">
        <v>46315.8978571528</v>
      </c>
      <c r="B533" s="3" t="s">
        <v>554</v>
      </c>
      <c r="C533" s="0" t="n">
        <v>3</v>
      </c>
      <c r="D533" s="0" t="n">
        <v>48.7</v>
      </c>
      <c r="E533" s="0" t="n">
        <v>0</v>
      </c>
      <c r="F533" s="0" t="n">
        <v>0</v>
      </c>
      <c r="G533" s="0" t="n">
        <v>-3.4</v>
      </c>
      <c r="H533" s="0" t="n">
        <v>0</v>
      </c>
      <c r="I533" s="0" t="n">
        <v>0</v>
      </c>
      <c r="J533" s="0" t="n">
        <v>277</v>
      </c>
      <c r="K533" s="0" t="n">
        <v>-35.3630965</v>
      </c>
      <c r="L533" s="0" t="n">
        <v>149.1637991</v>
      </c>
      <c r="M533" s="0" t="n">
        <v>432.1</v>
      </c>
      <c r="N533" s="3" t="n">
        <f aca="false">(A533-$A$2)*86400</f>
        <v>560.955999791</v>
      </c>
      <c r="O533" s="3" t="n">
        <f aca="false">D533*0.3048</f>
        <v>14.84376</v>
      </c>
      <c r="P533" s="3" t="n">
        <f aca="false">E533*0.44704</f>
        <v>0</v>
      </c>
      <c r="Q533" s="3" t="n">
        <f aca="false">F533*0.44704</f>
        <v>0</v>
      </c>
    </row>
    <row r="534" customFormat="false" ht="15" hidden="false" customHeight="false" outlineLevel="0" collapsed="false">
      <c r="A534" s="8" t="n">
        <v>46315.8978687037</v>
      </c>
      <c r="B534" s="3" t="s">
        <v>555</v>
      </c>
      <c r="C534" s="0" t="n">
        <v>3</v>
      </c>
      <c r="D534" s="0" t="n">
        <v>47.5</v>
      </c>
      <c r="E534" s="0" t="n">
        <v>0</v>
      </c>
      <c r="F534" s="0" t="n">
        <v>0</v>
      </c>
      <c r="G534" s="0" t="n">
        <v>-3.4</v>
      </c>
      <c r="H534" s="0" t="n">
        <v>0</v>
      </c>
      <c r="I534" s="0" t="n">
        <v>0</v>
      </c>
      <c r="J534" s="0" t="n">
        <v>277</v>
      </c>
      <c r="K534" s="0" t="n">
        <v>-35.3630965</v>
      </c>
      <c r="L534" s="0" t="n">
        <v>149.1637991</v>
      </c>
      <c r="M534" s="0" t="n">
        <v>432.1</v>
      </c>
      <c r="N534" s="3" t="n">
        <f aca="false">(A534-$A$2)*86400</f>
        <v>561.953999684</v>
      </c>
      <c r="O534" s="3" t="n">
        <f aca="false">D534*0.3048</f>
        <v>14.478</v>
      </c>
      <c r="P534" s="3" t="n">
        <f aca="false">E534*0.44704</f>
        <v>0</v>
      </c>
      <c r="Q534" s="3" t="n">
        <f aca="false">F534*0.44704</f>
        <v>0</v>
      </c>
    </row>
    <row r="535" customFormat="false" ht="15" hidden="false" customHeight="false" outlineLevel="0" collapsed="false">
      <c r="A535" s="8" t="n">
        <v>46315.8978801852</v>
      </c>
      <c r="B535" s="3" t="s">
        <v>556</v>
      </c>
      <c r="C535" s="0" t="n">
        <v>3</v>
      </c>
      <c r="D535" s="0" t="n">
        <v>46.3</v>
      </c>
      <c r="E535" s="0" t="n">
        <v>0</v>
      </c>
      <c r="F535" s="0" t="n">
        <v>0</v>
      </c>
      <c r="G535" s="0" t="n">
        <v>-3.4</v>
      </c>
      <c r="H535" s="0" t="n">
        <v>0</v>
      </c>
      <c r="I535" s="0" t="n">
        <v>0</v>
      </c>
      <c r="J535" s="0" t="n">
        <v>277</v>
      </c>
      <c r="K535" s="0" t="n">
        <v>-35.3630965</v>
      </c>
      <c r="L535" s="0" t="n">
        <v>149.1637991</v>
      </c>
      <c r="M535" s="0" t="n">
        <v>432.1</v>
      </c>
      <c r="N535" s="3" t="n">
        <f aca="false">(A535-$A$2)*86400</f>
        <v>562.945999181</v>
      </c>
      <c r="O535" s="3" t="n">
        <f aca="false">D535*0.3048</f>
        <v>14.11224</v>
      </c>
      <c r="P535" s="3" t="n">
        <f aca="false">E535*0.44704</f>
        <v>0</v>
      </c>
      <c r="Q535" s="3" t="n">
        <f aca="false">F535*0.44704</f>
        <v>0</v>
      </c>
    </row>
    <row r="536" customFormat="false" ht="15" hidden="false" customHeight="false" outlineLevel="0" collapsed="false">
      <c r="A536" s="8" t="n">
        <v>46315.897891956</v>
      </c>
      <c r="B536" s="3" t="s">
        <v>557</v>
      </c>
      <c r="C536" s="0" t="n">
        <v>3</v>
      </c>
      <c r="D536" s="0" t="n">
        <v>45</v>
      </c>
      <c r="E536" s="0" t="n">
        <v>0</v>
      </c>
      <c r="F536" s="0" t="n">
        <v>0</v>
      </c>
      <c r="G536" s="0" t="n">
        <v>-3.4</v>
      </c>
      <c r="H536" s="0" t="n">
        <v>0</v>
      </c>
      <c r="I536" s="0" t="n">
        <v>0</v>
      </c>
      <c r="J536" s="0" t="n">
        <v>277</v>
      </c>
      <c r="K536" s="0" t="n">
        <v>-35.3630965</v>
      </c>
      <c r="L536" s="0" t="n">
        <v>149.1637991</v>
      </c>
      <c r="M536" s="0" t="n">
        <v>432.1</v>
      </c>
      <c r="N536" s="3" t="n">
        <f aca="false">(A536-$A$2)*86400</f>
        <v>563.962999801</v>
      </c>
      <c r="O536" s="3" t="n">
        <f aca="false">D536*0.3048</f>
        <v>13.716</v>
      </c>
      <c r="P536" s="3" t="n">
        <f aca="false">E536*0.44704</f>
        <v>0</v>
      </c>
      <c r="Q536" s="3" t="n">
        <f aca="false">F536*0.44704</f>
        <v>0</v>
      </c>
    </row>
    <row r="537" customFormat="false" ht="15" hidden="false" customHeight="false" outlineLevel="0" collapsed="false">
      <c r="A537" s="8" t="n">
        <v>46315.8979033218</v>
      </c>
      <c r="B537" s="3" t="s">
        <v>558</v>
      </c>
      <c r="C537" s="0" t="n">
        <v>3</v>
      </c>
      <c r="D537" s="0" t="n">
        <v>43.8</v>
      </c>
      <c r="E537" s="0" t="n">
        <v>0</v>
      </c>
      <c r="F537" s="0" t="n">
        <v>0</v>
      </c>
      <c r="G537" s="0" t="n">
        <v>-3.4</v>
      </c>
      <c r="H537" s="0" t="n">
        <v>0</v>
      </c>
      <c r="I537" s="0" t="n">
        <v>0</v>
      </c>
      <c r="J537" s="0" t="n">
        <v>277</v>
      </c>
      <c r="K537" s="0" t="n">
        <v>-35.3630965</v>
      </c>
      <c r="L537" s="0" t="n">
        <v>149.1637991</v>
      </c>
      <c r="M537" s="0" t="n">
        <v>432.1</v>
      </c>
      <c r="N537" s="3" t="n">
        <f aca="false">(A537-$A$2)*86400</f>
        <v>564.945000107</v>
      </c>
      <c r="O537" s="3" t="n">
        <f aca="false">D537*0.3048</f>
        <v>13.35024</v>
      </c>
      <c r="P537" s="3" t="n">
        <f aca="false">E537*0.44704</f>
        <v>0</v>
      </c>
      <c r="Q537" s="3" t="n">
        <f aca="false">F537*0.44704</f>
        <v>0</v>
      </c>
    </row>
    <row r="538" customFormat="false" ht="15" hidden="false" customHeight="false" outlineLevel="0" collapsed="false">
      <c r="A538" s="8" t="n">
        <v>46315.8979149074</v>
      </c>
      <c r="B538" s="3" t="s">
        <v>559</v>
      </c>
      <c r="C538" s="0" t="n">
        <v>3</v>
      </c>
      <c r="D538" s="0" t="n">
        <v>42.6</v>
      </c>
      <c r="E538" s="0" t="n">
        <v>0</v>
      </c>
      <c r="F538" s="0" t="n">
        <v>0</v>
      </c>
      <c r="G538" s="0" t="n">
        <v>-3.4</v>
      </c>
      <c r="H538" s="0" t="n">
        <v>0</v>
      </c>
      <c r="I538" s="0" t="n">
        <v>0</v>
      </c>
      <c r="J538" s="0" t="n">
        <v>277</v>
      </c>
      <c r="K538" s="0" t="n">
        <v>-35.3630965</v>
      </c>
      <c r="L538" s="0" t="n">
        <v>149.1637991</v>
      </c>
      <c r="M538" s="0" t="n">
        <v>432.1</v>
      </c>
      <c r="N538" s="3" t="n">
        <f aca="false">(A538-$A$2)*86400</f>
        <v>565.945999883</v>
      </c>
      <c r="O538" s="3" t="n">
        <f aca="false">D538*0.3048</f>
        <v>12.98448</v>
      </c>
      <c r="P538" s="3" t="n">
        <f aca="false">E538*0.44704</f>
        <v>0</v>
      </c>
      <c r="Q538" s="3" t="n">
        <f aca="false">F538*0.44704</f>
        <v>0</v>
      </c>
    </row>
    <row r="539" customFormat="false" ht="15" hidden="false" customHeight="false" outlineLevel="0" collapsed="false">
      <c r="A539" s="8" t="n">
        <v>46315.8979265857</v>
      </c>
      <c r="B539" s="3" t="s">
        <v>560</v>
      </c>
      <c r="C539" s="0" t="n">
        <v>3</v>
      </c>
      <c r="D539" s="0" t="n">
        <v>41.3</v>
      </c>
      <c r="E539" s="0" t="n">
        <v>0</v>
      </c>
      <c r="F539" s="0" t="n">
        <v>0</v>
      </c>
      <c r="G539" s="0" t="n">
        <v>-3.4</v>
      </c>
      <c r="H539" s="0" t="n">
        <v>0</v>
      </c>
      <c r="I539" s="0" t="n">
        <v>0</v>
      </c>
      <c r="J539" s="0" t="n">
        <v>277</v>
      </c>
      <c r="K539" s="0" t="n">
        <v>-35.3630965</v>
      </c>
      <c r="L539" s="0" t="n">
        <v>149.1637991</v>
      </c>
      <c r="M539" s="0" t="n">
        <v>432.1</v>
      </c>
      <c r="N539" s="3" t="n">
        <f aca="false">(A539-$A$2)*86400</f>
        <v>566.954999766</v>
      </c>
      <c r="O539" s="3" t="n">
        <f aca="false">D539*0.3048</f>
        <v>12.58824</v>
      </c>
      <c r="P539" s="3" t="n">
        <f aca="false">E539*0.44704</f>
        <v>0</v>
      </c>
      <c r="Q539" s="3" t="n">
        <f aca="false">F539*0.44704</f>
        <v>0</v>
      </c>
    </row>
    <row r="540" customFormat="false" ht="15" hidden="false" customHeight="false" outlineLevel="0" collapsed="false">
      <c r="A540" s="8" t="n">
        <v>46315.8979382292</v>
      </c>
      <c r="B540" s="3" t="s">
        <v>561</v>
      </c>
      <c r="C540" s="0" t="n">
        <v>3</v>
      </c>
      <c r="D540" s="0" t="n">
        <v>40.1</v>
      </c>
      <c r="E540" s="0" t="n">
        <v>0</v>
      </c>
      <c r="F540" s="0" t="n">
        <v>0</v>
      </c>
      <c r="G540" s="0" t="n">
        <v>-3.4</v>
      </c>
      <c r="H540" s="0" t="n">
        <v>0</v>
      </c>
      <c r="I540" s="0" t="n">
        <v>0</v>
      </c>
      <c r="J540" s="0" t="n">
        <v>277</v>
      </c>
      <c r="K540" s="0" t="n">
        <v>-35.3630965</v>
      </c>
      <c r="L540" s="0" t="n">
        <v>149.1637991</v>
      </c>
      <c r="M540" s="0" t="n">
        <v>432.1</v>
      </c>
      <c r="N540" s="3" t="n">
        <f aca="false">(A540-$A$2)*86400</f>
        <v>567.961000395</v>
      </c>
      <c r="O540" s="3" t="n">
        <f aca="false">D540*0.3048</f>
        <v>12.22248</v>
      </c>
      <c r="P540" s="3" t="n">
        <f aca="false">E540*0.44704</f>
        <v>0</v>
      </c>
      <c r="Q540" s="3" t="n">
        <f aca="false">F540*0.44704</f>
        <v>0</v>
      </c>
    </row>
    <row r="541" customFormat="false" ht="15" hidden="false" customHeight="false" outlineLevel="0" collapsed="false">
      <c r="A541" s="8" t="n">
        <v>46315.897949537</v>
      </c>
      <c r="B541" s="3" t="s">
        <v>562</v>
      </c>
      <c r="C541" s="0" t="n">
        <v>3</v>
      </c>
      <c r="D541" s="0" t="n">
        <v>38.9</v>
      </c>
      <c r="E541" s="0" t="n">
        <v>0</v>
      </c>
      <c r="F541" s="0" t="n">
        <v>0</v>
      </c>
      <c r="G541" s="0" t="n">
        <v>-3.4</v>
      </c>
      <c r="H541" s="0" t="n">
        <v>0</v>
      </c>
      <c r="I541" s="0" t="n">
        <v>0</v>
      </c>
      <c r="J541" s="0" t="n">
        <v>277</v>
      </c>
      <c r="K541" s="0" t="n">
        <v>-35.3630965</v>
      </c>
      <c r="L541" s="0" t="n">
        <v>149.1637991</v>
      </c>
      <c r="M541" s="0" t="n">
        <v>432.1</v>
      </c>
      <c r="N541" s="3" t="n">
        <f aca="false">(A541-$A$2)*86400</f>
        <v>568.937999848</v>
      </c>
      <c r="O541" s="3" t="n">
        <f aca="false">D541*0.3048</f>
        <v>11.85672</v>
      </c>
      <c r="P541" s="3" t="n">
        <f aca="false">E541*0.44704</f>
        <v>0</v>
      </c>
      <c r="Q541" s="3" t="n">
        <f aca="false">F541*0.44704</f>
        <v>0</v>
      </c>
    </row>
    <row r="542" customFormat="false" ht="15" hidden="false" customHeight="false" outlineLevel="0" collapsed="false">
      <c r="A542" s="8" t="n">
        <v>46315.8979611574</v>
      </c>
      <c r="B542" s="3" t="s">
        <v>563</v>
      </c>
      <c r="C542" s="0" t="n">
        <v>3</v>
      </c>
      <c r="D542" s="0" t="n">
        <v>37.7</v>
      </c>
      <c r="E542" s="0" t="n">
        <v>0</v>
      </c>
      <c r="F542" s="0" t="n">
        <v>0</v>
      </c>
      <c r="G542" s="0" t="n">
        <v>-3.3</v>
      </c>
      <c r="H542" s="0" t="n">
        <v>0</v>
      </c>
      <c r="I542" s="0" t="n">
        <v>0</v>
      </c>
      <c r="J542" s="0" t="n">
        <v>277</v>
      </c>
      <c r="K542" s="0" t="n">
        <v>-35.3630965</v>
      </c>
      <c r="L542" s="0" t="n">
        <v>149.1637991</v>
      </c>
      <c r="M542" s="0" t="n">
        <v>432.1</v>
      </c>
      <c r="N542" s="3" t="n">
        <f aca="false">(A542-$A$2)*86400</f>
        <v>569.942000135</v>
      </c>
      <c r="O542" s="3" t="n">
        <f aca="false">D542*0.3048</f>
        <v>11.49096</v>
      </c>
      <c r="P542" s="3" t="n">
        <f aca="false">E542*0.44704</f>
        <v>0</v>
      </c>
      <c r="Q542" s="3" t="n">
        <f aca="false">F542*0.44704</f>
        <v>0</v>
      </c>
    </row>
    <row r="543" customFormat="false" ht="15" hidden="false" customHeight="false" outlineLevel="0" collapsed="false">
      <c r="A543" s="8" t="n">
        <v>46315.8979727778</v>
      </c>
      <c r="B543" s="3" t="s">
        <v>564</v>
      </c>
      <c r="C543" s="0" t="n">
        <v>3</v>
      </c>
      <c r="D543" s="0" t="n">
        <v>36.5</v>
      </c>
      <c r="E543" s="0" t="n">
        <v>0</v>
      </c>
      <c r="F543" s="0" t="n">
        <v>0</v>
      </c>
      <c r="G543" s="0" t="n">
        <v>-3.1</v>
      </c>
      <c r="H543" s="0" t="n">
        <v>0</v>
      </c>
      <c r="I543" s="0" t="n">
        <v>0</v>
      </c>
      <c r="J543" s="0" t="n">
        <v>278</v>
      </c>
      <c r="K543" s="0" t="n">
        <v>-35.3630965</v>
      </c>
      <c r="L543" s="0" t="n">
        <v>149.1637991</v>
      </c>
      <c r="M543" s="0" t="n">
        <v>432.1</v>
      </c>
      <c r="N543" s="3" t="n">
        <f aca="false">(A543-$A$2)*86400</f>
        <v>570.945999794</v>
      </c>
      <c r="O543" s="3" t="n">
        <f aca="false">D543*0.3048</f>
        <v>11.1252</v>
      </c>
      <c r="P543" s="3" t="n">
        <f aca="false">E543*0.44704</f>
        <v>0</v>
      </c>
      <c r="Q543" s="3" t="n">
        <f aca="false">F543*0.44704</f>
        <v>0</v>
      </c>
    </row>
    <row r="544" customFormat="false" ht="15" hidden="false" customHeight="false" outlineLevel="0" collapsed="false">
      <c r="A544" s="8" t="n">
        <v>46315.8979845486</v>
      </c>
      <c r="B544" s="3" t="s">
        <v>565</v>
      </c>
      <c r="C544" s="0" t="n">
        <v>3</v>
      </c>
      <c r="D544" s="0" t="n">
        <v>35.4</v>
      </c>
      <c r="E544" s="0" t="n">
        <v>0</v>
      </c>
      <c r="F544" s="0" t="n">
        <v>0</v>
      </c>
      <c r="G544" s="0" t="n">
        <v>-2.5</v>
      </c>
      <c r="H544" s="0" t="n">
        <v>0</v>
      </c>
      <c r="I544" s="0" t="n">
        <v>0</v>
      </c>
      <c r="J544" s="0" t="n">
        <v>278</v>
      </c>
      <c r="K544" s="0" t="n">
        <v>-35.3630965</v>
      </c>
      <c r="L544" s="0" t="n">
        <v>149.1637991</v>
      </c>
      <c r="M544" s="0" t="n">
        <v>432.1</v>
      </c>
      <c r="N544" s="3" t="n">
        <f aca="false">(A544-$A$2)*86400</f>
        <v>571.962999785</v>
      </c>
      <c r="O544" s="3" t="n">
        <f aca="false">D544*0.3048</f>
        <v>10.78992</v>
      </c>
      <c r="P544" s="3" t="n">
        <f aca="false">E544*0.44704</f>
        <v>0</v>
      </c>
      <c r="Q544" s="3" t="n">
        <f aca="false">F544*0.44704</f>
        <v>0</v>
      </c>
    </row>
    <row r="545" customFormat="false" ht="15" hidden="false" customHeight="false" outlineLevel="0" collapsed="false">
      <c r="A545" s="8" t="n">
        <v>46315.8979959954</v>
      </c>
      <c r="B545" s="3" t="s">
        <v>566</v>
      </c>
      <c r="C545" s="0" t="n">
        <v>3</v>
      </c>
      <c r="D545" s="0" t="n">
        <v>34.6</v>
      </c>
      <c r="E545" s="0" t="n">
        <v>0</v>
      </c>
      <c r="F545" s="0" t="n">
        <v>0</v>
      </c>
      <c r="G545" s="0" t="n">
        <v>-1.9</v>
      </c>
      <c r="H545" s="0" t="n">
        <v>0</v>
      </c>
      <c r="I545" s="0" t="n">
        <v>0</v>
      </c>
      <c r="J545" s="0" t="n">
        <v>278</v>
      </c>
      <c r="K545" s="0" t="n">
        <v>-35.3630965</v>
      </c>
      <c r="L545" s="0" t="n">
        <v>149.1637991</v>
      </c>
      <c r="M545" s="0" t="n">
        <v>432.1</v>
      </c>
      <c r="N545" s="3" t="n">
        <f aca="false">(A545-$A$2)*86400</f>
        <v>572.952000028</v>
      </c>
      <c r="O545" s="3" t="n">
        <f aca="false">D545*0.3048</f>
        <v>10.54608</v>
      </c>
      <c r="P545" s="3" t="n">
        <f aca="false">E545*0.44704</f>
        <v>0</v>
      </c>
      <c r="Q545" s="3" t="n">
        <f aca="false">F545*0.44704</f>
        <v>0</v>
      </c>
    </row>
    <row r="546" customFormat="false" ht="15" hidden="false" customHeight="false" outlineLevel="0" collapsed="false">
      <c r="A546" s="8" t="n">
        <v>46315.8980076273</v>
      </c>
      <c r="B546" s="3" t="s">
        <v>567</v>
      </c>
      <c r="C546" s="0" t="n">
        <v>3</v>
      </c>
      <c r="D546" s="0" t="n">
        <v>34</v>
      </c>
      <c r="E546" s="0" t="n">
        <v>0</v>
      </c>
      <c r="F546" s="0" t="n">
        <v>0</v>
      </c>
      <c r="G546" s="0" t="n">
        <v>-1.4</v>
      </c>
      <c r="H546" s="0" t="n">
        <v>0</v>
      </c>
      <c r="I546" s="0" t="n">
        <v>0</v>
      </c>
      <c r="J546" s="0" t="n">
        <v>277</v>
      </c>
      <c r="K546" s="0" t="n">
        <v>-35.3630965</v>
      </c>
      <c r="L546" s="0" t="n">
        <v>149.1637991</v>
      </c>
      <c r="M546" s="0" t="n">
        <v>432.1</v>
      </c>
      <c r="N546" s="3" t="n">
        <f aca="false">(A546-$A$2)*86400</f>
        <v>573.956999229</v>
      </c>
      <c r="O546" s="3" t="n">
        <f aca="false">D546*0.3048</f>
        <v>10.3632</v>
      </c>
      <c r="P546" s="3" t="n">
        <f aca="false">E546*0.44704</f>
        <v>0</v>
      </c>
      <c r="Q546" s="3" t="n">
        <f aca="false">F546*0.44704</f>
        <v>0</v>
      </c>
    </row>
    <row r="547" customFormat="false" ht="15" hidden="false" customHeight="false" outlineLevel="0" collapsed="false">
      <c r="A547" s="8" t="n">
        <v>46315.8980191551</v>
      </c>
      <c r="B547" s="3" t="s">
        <v>568</v>
      </c>
      <c r="C547" s="0" t="n">
        <v>3</v>
      </c>
      <c r="D547" s="0" t="n">
        <v>33.6</v>
      </c>
      <c r="E547" s="0" t="n">
        <v>0</v>
      </c>
      <c r="F547" s="0" t="n">
        <v>0</v>
      </c>
      <c r="G547" s="0" t="n">
        <v>-1.1</v>
      </c>
      <c r="H547" s="0" t="n">
        <v>0</v>
      </c>
      <c r="I547" s="0" t="n">
        <v>0</v>
      </c>
      <c r="J547" s="0" t="n">
        <v>278</v>
      </c>
      <c r="K547" s="0" t="n">
        <v>-35.3630965</v>
      </c>
      <c r="L547" s="0" t="n">
        <v>149.1637991</v>
      </c>
      <c r="M547" s="0" t="n">
        <v>432.1</v>
      </c>
      <c r="N547" s="3" t="n">
        <f aca="false">(A547-$A$2)*86400</f>
        <v>574.952999409</v>
      </c>
      <c r="O547" s="3" t="n">
        <f aca="false">D547*0.3048</f>
        <v>10.24128</v>
      </c>
      <c r="P547" s="3" t="n">
        <f aca="false">E547*0.44704</f>
        <v>0</v>
      </c>
      <c r="Q547" s="3" t="n">
        <f aca="false">F547*0.44704</f>
        <v>0</v>
      </c>
    </row>
    <row r="548" customFormat="false" ht="15" hidden="false" customHeight="false" outlineLevel="0" collapsed="false">
      <c r="A548" s="8" t="n">
        <v>46315.8980308565</v>
      </c>
      <c r="B548" s="3" t="s">
        <v>569</v>
      </c>
      <c r="C548" s="0" t="n">
        <v>3</v>
      </c>
      <c r="D548" s="0" t="n">
        <v>33.2</v>
      </c>
      <c r="E548" s="0" t="n">
        <v>0</v>
      </c>
      <c r="F548" s="0" t="n">
        <v>0</v>
      </c>
      <c r="G548" s="0" t="n">
        <v>-1</v>
      </c>
      <c r="H548" s="0" t="n">
        <v>0</v>
      </c>
      <c r="I548" s="0" t="n">
        <v>0</v>
      </c>
      <c r="J548" s="0" t="n">
        <v>277</v>
      </c>
      <c r="K548" s="0" t="n">
        <v>-35.3630965</v>
      </c>
      <c r="L548" s="0" t="n">
        <v>149.1637991</v>
      </c>
      <c r="M548" s="0" t="n">
        <v>432.1</v>
      </c>
      <c r="N548" s="3" t="n">
        <f aca="false">(A548-$A$2)*86400</f>
        <v>575.963999633</v>
      </c>
      <c r="O548" s="3" t="n">
        <f aca="false">D548*0.3048</f>
        <v>10.11936</v>
      </c>
      <c r="P548" s="3" t="n">
        <f aca="false">E548*0.44704</f>
        <v>0</v>
      </c>
      <c r="Q548" s="3" t="n">
        <f aca="false">F548*0.44704</f>
        <v>0</v>
      </c>
    </row>
    <row r="549" customFormat="false" ht="15" hidden="false" customHeight="false" outlineLevel="0" collapsed="false">
      <c r="A549" s="8" t="n">
        <v>46315.8980422685</v>
      </c>
      <c r="B549" s="3" t="s">
        <v>570</v>
      </c>
      <c r="C549" s="0" t="n">
        <v>3</v>
      </c>
      <c r="D549" s="0" t="n">
        <v>32.9</v>
      </c>
      <c r="E549" s="0" t="n">
        <v>0</v>
      </c>
      <c r="F549" s="0" t="n">
        <v>0</v>
      </c>
      <c r="G549" s="0" t="n">
        <v>-1</v>
      </c>
      <c r="H549" s="0" t="n">
        <v>0</v>
      </c>
      <c r="I549" s="0" t="n">
        <v>0</v>
      </c>
      <c r="J549" s="0" t="n">
        <v>277</v>
      </c>
      <c r="K549" s="0" t="n">
        <v>-35.3630965</v>
      </c>
      <c r="L549" s="0" t="n">
        <v>149.1637991</v>
      </c>
      <c r="M549" s="0" t="n">
        <v>432.1</v>
      </c>
      <c r="N549" s="3" t="n">
        <f aca="false">(A549-$A$2)*86400</f>
        <v>576.949999993</v>
      </c>
      <c r="O549" s="3" t="n">
        <f aca="false">D549*0.3048</f>
        <v>10.02792</v>
      </c>
      <c r="P549" s="3" t="n">
        <f aca="false">E549*0.44704</f>
        <v>0</v>
      </c>
      <c r="Q549" s="3" t="n">
        <f aca="false">F549*0.44704</f>
        <v>0</v>
      </c>
    </row>
    <row r="550" customFormat="false" ht="15" hidden="false" customHeight="false" outlineLevel="0" collapsed="false">
      <c r="A550" s="8" t="n">
        <v>46315.8980537963</v>
      </c>
      <c r="B550" s="3" t="s">
        <v>571</v>
      </c>
      <c r="C550" s="0" t="n">
        <v>3</v>
      </c>
      <c r="D550" s="0" t="n">
        <v>32.5</v>
      </c>
      <c r="E550" s="0" t="n">
        <v>0</v>
      </c>
      <c r="F550" s="0" t="n">
        <v>0</v>
      </c>
      <c r="G550" s="0" t="n">
        <v>-1</v>
      </c>
      <c r="H550" s="0" t="n">
        <v>0</v>
      </c>
      <c r="I550" s="0" t="n">
        <v>0</v>
      </c>
      <c r="J550" s="0" t="n">
        <v>277</v>
      </c>
      <c r="K550" s="0" t="n">
        <v>-35.3630965</v>
      </c>
      <c r="L550" s="0" t="n">
        <v>149.1637991</v>
      </c>
      <c r="M550" s="0" t="n">
        <v>432.1</v>
      </c>
      <c r="N550" s="3" t="n">
        <f aca="false">(A550-$A$2)*86400</f>
        <v>577.946000173</v>
      </c>
      <c r="O550" s="3" t="n">
        <f aca="false">D550*0.3048</f>
        <v>9.906</v>
      </c>
      <c r="P550" s="3" t="n">
        <f aca="false">E550*0.44704</f>
        <v>0</v>
      </c>
      <c r="Q550" s="3" t="n">
        <f aca="false">F550*0.44704</f>
        <v>0</v>
      </c>
    </row>
    <row r="551" customFormat="false" ht="15" hidden="false" customHeight="false" outlineLevel="0" collapsed="false">
      <c r="A551" s="8" t="n">
        <v>46315.8980655556</v>
      </c>
      <c r="B551" s="3" t="s">
        <v>572</v>
      </c>
      <c r="C551" s="0" t="n">
        <v>3</v>
      </c>
      <c r="D551" s="0" t="n">
        <v>32.1</v>
      </c>
      <c r="E551" s="0" t="n">
        <v>0</v>
      </c>
      <c r="F551" s="0" t="n">
        <v>0</v>
      </c>
      <c r="G551" s="0" t="n">
        <v>-1.1</v>
      </c>
      <c r="H551" s="0" t="n">
        <v>0</v>
      </c>
      <c r="I551" s="0" t="n">
        <v>0</v>
      </c>
      <c r="J551" s="0" t="n">
        <v>277</v>
      </c>
      <c r="K551" s="0" t="n">
        <v>-35.3630965</v>
      </c>
      <c r="L551" s="0" t="n">
        <v>149.1637991</v>
      </c>
      <c r="M551" s="0" t="n">
        <v>432.1</v>
      </c>
      <c r="N551" s="3" t="n">
        <f aca="false">(A551-$A$2)*86400</f>
        <v>578.961999993</v>
      </c>
      <c r="O551" s="3" t="n">
        <f aca="false">D551*0.3048</f>
        <v>9.78408</v>
      </c>
      <c r="P551" s="3" t="n">
        <f aca="false">E551*0.44704</f>
        <v>0</v>
      </c>
      <c r="Q551" s="3" t="n">
        <f aca="false">F551*0.44704</f>
        <v>0</v>
      </c>
    </row>
    <row r="552" customFormat="false" ht="15" hidden="false" customHeight="false" outlineLevel="0" collapsed="false">
      <c r="A552" s="8" t="n">
        <v>46315.8980770718</v>
      </c>
      <c r="B552" s="3" t="s">
        <v>573</v>
      </c>
      <c r="C552" s="0" t="n">
        <v>3</v>
      </c>
      <c r="D552" s="0" t="n">
        <v>31.7</v>
      </c>
      <c r="E552" s="0" t="n">
        <v>0</v>
      </c>
      <c r="F552" s="0" t="n">
        <v>0</v>
      </c>
      <c r="G552" s="0" t="n">
        <v>-1.1</v>
      </c>
      <c r="H552" s="0" t="n">
        <v>0</v>
      </c>
      <c r="I552" s="0" t="n">
        <v>0</v>
      </c>
      <c r="J552" s="0" t="n">
        <v>277</v>
      </c>
      <c r="K552" s="0" t="n">
        <v>-35.3630965</v>
      </c>
      <c r="L552" s="0" t="n">
        <v>149.1637991</v>
      </c>
      <c r="M552" s="0" t="n">
        <v>432.1</v>
      </c>
      <c r="N552" s="3" t="n">
        <f aca="false">(A552-$A$2)*86400</f>
        <v>579.957000003</v>
      </c>
      <c r="O552" s="3" t="n">
        <f aca="false">D552*0.3048</f>
        <v>9.66216</v>
      </c>
      <c r="P552" s="3" t="n">
        <f aca="false">E552*0.44704</f>
        <v>0</v>
      </c>
      <c r="Q552" s="3" t="n">
        <f aca="false">F552*0.44704</f>
        <v>0</v>
      </c>
    </row>
    <row r="553" customFormat="false" ht="15" hidden="false" customHeight="false" outlineLevel="0" collapsed="false">
      <c r="A553" s="8" t="n">
        <v>46315.8980883796</v>
      </c>
      <c r="B553" s="3" t="s">
        <v>574</v>
      </c>
      <c r="C553" s="0" t="n">
        <v>3</v>
      </c>
      <c r="D553" s="0" t="n">
        <v>31.3</v>
      </c>
      <c r="E553" s="0" t="n">
        <v>0</v>
      </c>
      <c r="F553" s="0" t="n">
        <v>0</v>
      </c>
      <c r="G553" s="0" t="n">
        <v>-1.1</v>
      </c>
      <c r="H553" s="0" t="n">
        <v>0</v>
      </c>
      <c r="I553" s="0" t="n">
        <v>0</v>
      </c>
      <c r="J553" s="0" t="n">
        <v>277</v>
      </c>
      <c r="K553" s="0" t="n">
        <v>-35.3630965</v>
      </c>
      <c r="L553" s="0" t="n">
        <v>149.1637991</v>
      </c>
      <c r="M553" s="0" t="n">
        <v>432.1</v>
      </c>
      <c r="N553" s="3" t="n">
        <f aca="false">(A553-$A$2)*86400</f>
        <v>580.934000085</v>
      </c>
      <c r="O553" s="3" t="n">
        <f aca="false">D553*0.3048</f>
        <v>9.54024</v>
      </c>
      <c r="P553" s="3" t="n">
        <f aca="false">E553*0.44704</f>
        <v>0</v>
      </c>
      <c r="Q553" s="3" t="n">
        <f aca="false">F553*0.44704</f>
        <v>0</v>
      </c>
    </row>
    <row r="554" customFormat="false" ht="15" hidden="false" customHeight="false" outlineLevel="0" collapsed="false">
      <c r="A554" s="8" t="n">
        <v>46315.8981000695</v>
      </c>
      <c r="B554" s="3" t="s">
        <v>575</v>
      </c>
      <c r="C554" s="0" t="n">
        <v>3</v>
      </c>
      <c r="D554" s="0" t="n">
        <v>30.9</v>
      </c>
      <c r="E554" s="0" t="n">
        <v>0</v>
      </c>
      <c r="F554" s="0" t="n">
        <v>0</v>
      </c>
      <c r="G554" s="0" t="n">
        <v>-1.1</v>
      </c>
      <c r="H554" s="0" t="n">
        <v>0</v>
      </c>
      <c r="I554" s="0" t="n">
        <v>0</v>
      </c>
      <c r="J554" s="0" t="n">
        <v>277</v>
      </c>
      <c r="K554" s="0" t="n">
        <v>-35.3630965</v>
      </c>
      <c r="L554" s="0" t="n">
        <v>149.1637991</v>
      </c>
      <c r="M554" s="0" t="n">
        <v>432.1</v>
      </c>
      <c r="N554" s="3" t="n">
        <f aca="false">(A554-$A$2)*86400</f>
        <v>581.944000138</v>
      </c>
      <c r="O554" s="3" t="n">
        <f aca="false">D554*0.3048</f>
        <v>9.41832</v>
      </c>
      <c r="P554" s="3" t="n">
        <f aca="false">E554*0.44704</f>
        <v>0</v>
      </c>
      <c r="Q554" s="3" t="n">
        <f aca="false">F554*0.44704</f>
        <v>0</v>
      </c>
    </row>
    <row r="555" customFormat="false" ht="15" hidden="false" customHeight="false" outlineLevel="0" collapsed="false">
      <c r="A555" s="8" t="n">
        <v>46315.8981115972</v>
      </c>
      <c r="B555" s="3" t="s">
        <v>576</v>
      </c>
      <c r="C555" s="0" t="n">
        <v>3</v>
      </c>
      <c r="D555" s="0" t="n">
        <v>30.5</v>
      </c>
      <c r="E555" s="0" t="n">
        <v>0</v>
      </c>
      <c r="F555" s="0" t="n">
        <v>0</v>
      </c>
      <c r="G555" s="0" t="n">
        <v>-1.1</v>
      </c>
      <c r="H555" s="0" t="n">
        <v>0</v>
      </c>
      <c r="I555" s="0" t="n">
        <v>0</v>
      </c>
      <c r="J555" s="0" t="n">
        <v>278</v>
      </c>
      <c r="K555" s="0" t="n">
        <v>-35.3630965</v>
      </c>
      <c r="L555" s="0" t="n">
        <v>149.1637991</v>
      </c>
      <c r="M555" s="0" t="n">
        <v>432.1</v>
      </c>
      <c r="N555" s="3" t="n">
        <f aca="false">(A555-$A$2)*86400</f>
        <v>582.93999969</v>
      </c>
      <c r="O555" s="3" t="n">
        <f aca="false">D555*0.3048</f>
        <v>9.2964</v>
      </c>
      <c r="P555" s="3" t="n">
        <f aca="false">E555*0.44704</f>
        <v>0</v>
      </c>
      <c r="Q555" s="3" t="n">
        <f aca="false">F555*0.44704</f>
        <v>0</v>
      </c>
    </row>
    <row r="556" customFormat="false" ht="15" hidden="false" customHeight="false" outlineLevel="0" collapsed="false">
      <c r="A556" s="8" t="n">
        <v>46315.8981233333</v>
      </c>
      <c r="B556" s="3" t="s">
        <v>577</v>
      </c>
      <c r="C556" s="0" t="n">
        <v>3</v>
      </c>
      <c r="D556" s="0" t="n">
        <v>30.1</v>
      </c>
      <c r="E556" s="0" t="n">
        <v>0</v>
      </c>
      <c r="F556" s="0" t="n">
        <v>0</v>
      </c>
      <c r="G556" s="0" t="n">
        <v>-1.1</v>
      </c>
      <c r="H556" s="0" t="n">
        <v>0</v>
      </c>
      <c r="I556" s="0" t="n">
        <v>0</v>
      </c>
      <c r="J556" s="0" t="n">
        <v>278</v>
      </c>
      <c r="K556" s="0" t="n">
        <v>-35.3630965</v>
      </c>
      <c r="L556" s="0" t="n">
        <v>149.1637991</v>
      </c>
      <c r="M556" s="0" t="n">
        <v>432.1</v>
      </c>
      <c r="N556" s="3" t="n">
        <f aca="false">(A556-$A$2)*86400</f>
        <v>583.953999797</v>
      </c>
      <c r="O556" s="3" t="n">
        <f aca="false">D556*0.3048</f>
        <v>9.17448</v>
      </c>
      <c r="P556" s="3" t="n">
        <f aca="false">E556*0.44704</f>
        <v>0</v>
      </c>
      <c r="Q556" s="3" t="n">
        <f aca="false">F556*0.44704</f>
        <v>0</v>
      </c>
    </row>
    <row r="557" customFormat="false" ht="15" hidden="false" customHeight="false" outlineLevel="0" collapsed="false">
      <c r="A557" s="8" t="n">
        <v>46315.8981348843</v>
      </c>
      <c r="B557" s="3" t="s">
        <v>578</v>
      </c>
      <c r="C557" s="0" t="n">
        <v>3</v>
      </c>
      <c r="D557" s="0" t="n">
        <v>29.7</v>
      </c>
      <c r="E557" s="0" t="n">
        <v>0</v>
      </c>
      <c r="F557" s="0" t="n">
        <v>0</v>
      </c>
      <c r="G557" s="0" t="n">
        <v>-1.1</v>
      </c>
      <c r="H557" s="0" t="n">
        <v>0</v>
      </c>
      <c r="I557" s="0" t="n">
        <v>0</v>
      </c>
      <c r="J557" s="0" t="n">
        <v>278</v>
      </c>
      <c r="K557" s="0" t="n">
        <v>-35.3630965</v>
      </c>
      <c r="L557" s="0" t="n">
        <v>149.1637991</v>
      </c>
      <c r="M557" s="0" t="n">
        <v>432.1</v>
      </c>
      <c r="N557" s="3" t="n">
        <f aca="false">(A557-$A$2)*86400</f>
        <v>584.95199969</v>
      </c>
      <c r="O557" s="3" t="n">
        <f aca="false">D557*0.3048</f>
        <v>9.05256</v>
      </c>
      <c r="P557" s="3" t="n">
        <f aca="false">E557*0.44704</f>
        <v>0</v>
      </c>
      <c r="Q557" s="3" t="n">
        <f aca="false">F557*0.44704</f>
        <v>0</v>
      </c>
    </row>
    <row r="558" customFormat="false" ht="15" hidden="false" customHeight="false" outlineLevel="0" collapsed="false">
      <c r="A558" s="8" t="n">
        <v>46315.8981462732</v>
      </c>
      <c r="B558" s="3" t="s">
        <v>579</v>
      </c>
      <c r="C558" s="0" t="n">
        <v>3</v>
      </c>
      <c r="D558" s="0" t="n">
        <v>29.2</v>
      </c>
      <c r="E558" s="0" t="n">
        <v>0</v>
      </c>
      <c r="F558" s="0" t="n">
        <v>0</v>
      </c>
      <c r="G558" s="0" t="n">
        <v>-1.1</v>
      </c>
      <c r="H558" s="0" t="n">
        <v>0</v>
      </c>
      <c r="I558" s="0" t="n">
        <v>0</v>
      </c>
      <c r="J558" s="0" t="n">
        <v>277</v>
      </c>
      <c r="K558" s="0" t="n">
        <v>-35.3630965</v>
      </c>
      <c r="L558" s="0" t="n">
        <v>149.1637991</v>
      </c>
      <c r="M558" s="0" t="n">
        <v>432.1</v>
      </c>
      <c r="N558" s="3" t="n">
        <f aca="false">(A558-$A$2)*86400</f>
        <v>585.936000337</v>
      </c>
      <c r="O558" s="3" t="n">
        <f aca="false">D558*0.3048</f>
        <v>8.90016</v>
      </c>
      <c r="P558" s="3" t="n">
        <f aca="false">E558*0.44704</f>
        <v>0</v>
      </c>
      <c r="Q558" s="3" t="n">
        <f aca="false">F558*0.44704</f>
        <v>0</v>
      </c>
    </row>
    <row r="559" customFormat="false" ht="15" hidden="false" customHeight="false" outlineLevel="0" collapsed="false">
      <c r="A559" s="8" t="n">
        <v>46315.8981579167</v>
      </c>
      <c r="B559" s="3" t="s">
        <v>580</v>
      </c>
      <c r="C559" s="0" t="n">
        <v>3</v>
      </c>
      <c r="D559" s="0" t="n">
        <v>28.8</v>
      </c>
      <c r="E559" s="0" t="n">
        <v>0</v>
      </c>
      <c r="F559" s="0" t="n">
        <v>0</v>
      </c>
      <c r="G559" s="0" t="n">
        <v>-1.1</v>
      </c>
      <c r="H559" s="0" t="n">
        <v>0</v>
      </c>
      <c r="I559" s="0" t="n">
        <v>0</v>
      </c>
      <c r="J559" s="0" t="n">
        <v>277</v>
      </c>
      <c r="K559" s="0" t="n">
        <v>-35.3630965</v>
      </c>
      <c r="L559" s="0" t="n">
        <v>149.1637991</v>
      </c>
      <c r="M559" s="0" t="n">
        <v>432.1</v>
      </c>
      <c r="N559" s="3" t="n">
        <f aca="false">(A559-$A$2)*86400</f>
        <v>586.94199908</v>
      </c>
      <c r="O559" s="3" t="n">
        <f aca="false">D559*0.3048</f>
        <v>8.77824</v>
      </c>
      <c r="P559" s="3" t="n">
        <f aca="false">E559*0.44704</f>
        <v>0</v>
      </c>
      <c r="Q559" s="3" t="n">
        <f aca="false">F559*0.44704</f>
        <v>0</v>
      </c>
    </row>
    <row r="560" customFormat="false" ht="15" hidden="false" customHeight="false" outlineLevel="0" collapsed="false">
      <c r="A560" s="8" t="n">
        <v>46315.898169757</v>
      </c>
      <c r="B560" s="3" t="s">
        <v>581</v>
      </c>
      <c r="C560" s="0" t="n">
        <v>3</v>
      </c>
      <c r="D560" s="0" t="n">
        <v>28.8</v>
      </c>
      <c r="E560" s="0" t="n">
        <v>0</v>
      </c>
      <c r="F560" s="0" t="n">
        <v>0</v>
      </c>
      <c r="G560" s="0" t="n">
        <v>-1.1</v>
      </c>
      <c r="H560" s="0" t="n">
        <v>0</v>
      </c>
      <c r="I560" s="0" t="n">
        <v>0</v>
      </c>
      <c r="J560" s="0" t="n">
        <v>277</v>
      </c>
      <c r="K560" s="0" t="n">
        <v>-35.3630965</v>
      </c>
      <c r="L560" s="0" t="n">
        <v>149.1637991</v>
      </c>
      <c r="M560" s="0" t="n">
        <v>432.1</v>
      </c>
      <c r="N560" s="3" t="n">
        <f aca="false">(A560-$A$2)*86400</f>
        <v>587.965000094</v>
      </c>
      <c r="O560" s="3" t="n">
        <f aca="false">D560*0.3048</f>
        <v>8.77824</v>
      </c>
      <c r="P560" s="3" t="n">
        <f aca="false">E560*0.44704</f>
        <v>0</v>
      </c>
      <c r="Q560" s="3" t="n">
        <f aca="false">F560*0.44704</f>
        <v>0</v>
      </c>
    </row>
    <row r="561" customFormat="false" ht="15" hidden="false" customHeight="false" outlineLevel="0" collapsed="false">
      <c r="A561" s="8" t="n">
        <v>46315.8981811227</v>
      </c>
      <c r="B561" s="3" t="s">
        <v>582</v>
      </c>
      <c r="C561" s="0" t="n">
        <v>3</v>
      </c>
      <c r="D561" s="0" t="n">
        <v>28.4</v>
      </c>
      <c r="E561" s="0" t="n">
        <v>0</v>
      </c>
      <c r="F561" s="0" t="n">
        <v>0</v>
      </c>
      <c r="G561" s="0" t="n">
        <v>-1.1</v>
      </c>
      <c r="H561" s="0" t="n">
        <v>0</v>
      </c>
      <c r="I561" s="0" t="n">
        <v>0</v>
      </c>
      <c r="J561" s="0" t="n">
        <v>277</v>
      </c>
      <c r="K561" s="0" t="n">
        <v>-35.3630965</v>
      </c>
      <c r="L561" s="0" t="n">
        <v>149.1637991</v>
      </c>
      <c r="M561" s="0" t="n">
        <v>432.1</v>
      </c>
      <c r="N561" s="3" t="n">
        <f aca="false">(A561-$A$2)*86400</f>
        <v>588.946999143</v>
      </c>
      <c r="O561" s="3" t="n">
        <f aca="false">D561*0.3048</f>
        <v>8.65632</v>
      </c>
      <c r="P561" s="3" t="n">
        <f aca="false">E561*0.44704</f>
        <v>0</v>
      </c>
      <c r="Q561" s="3" t="n">
        <f aca="false">F561*0.44704</f>
        <v>0</v>
      </c>
    </row>
    <row r="562" customFormat="false" ht="15" hidden="false" customHeight="false" outlineLevel="0" collapsed="false">
      <c r="A562" s="8" t="n">
        <v>46315.8981927778</v>
      </c>
      <c r="B562" s="3" t="s">
        <v>583</v>
      </c>
      <c r="C562" s="0" t="n">
        <v>3</v>
      </c>
      <c r="D562" s="0" t="n">
        <v>28</v>
      </c>
      <c r="E562" s="0" t="n">
        <v>0</v>
      </c>
      <c r="F562" s="0" t="n">
        <v>0</v>
      </c>
      <c r="G562" s="0" t="n">
        <v>-1.1</v>
      </c>
      <c r="H562" s="0" t="n">
        <v>0</v>
      </c>
      <c r="I562" s="0" t="n">
        <v>0</v>
      </c>
      <c r="J562" s="0" t="n">
        <v>277</v>
      </c>
      <c r="K562" s="0" t="n">
        <v>-35.3630965</v>
      </c>
      <c r="L562" s="0" t="n">
        <v>149.1637991</v>
      </c>
      <c r="M562" s="0" t="n">
        <v>432.1</v>
      </c>
      <c r="N562" s="3" t="n">
        <f aca="false">(A562-$A$2)*86400</f>
        <v>589.953999943</v>
      </c>
      <c r="O562" s="3" t="n">
        <f aca="false">D562*0.3048</f>
        <v>8.5344</v>
      </c>
      <c r="P562" s="3" t="n">
        <f aca="false">E562*0.44704</f>
        <v>0</v>
      </c>
      <c r="Q562" s="3" t="n">
        <f aca="false">F562*0.44704</f>
        <v>0</v>
      </c>
    </row>
    <row r="563" customFormat="false" ht="15" hidden="false" customHeight="false" outlineLevel="0" collapsed="false">
      <c r="A563" s="8" t="n">
        <v>46315.8982043403</v>
      </c>
      <c r="B563" s="3" t="s">
        <v>584</v>
      </c>
      <c r="C563" s="0" t="n">
        <v>3</v>
      </c>
      <c r="D563" s="0" t="n">
        <v>27.6</v>
      </c>
      <c r="E563" s="0" t="n">
        <v>0</v>
      </c>
      <c r="F563" s="0" t="n">
        <v>0</v>
      </c>
      <c r="G563" s="0" t="n">
        <v>-1.1</v>
      </c>
      <c r="H563" s="0" t="n">
        <v>0</v>
      </c>
      <c r="I563" s="0" t="n">
        <v>0</v>
      </c>
      <c r="J563" s="0" t="n">
        <v>277</v>
      </c>
      <c r="K563" s="0" t="n">
        <v>-35.3630965</v>
      </c>
      <c r="L563" s="0" t="n">
        <v>149.1637991</v>
      </c>
      <c r="M563" s="0" t="n">
        <v>432.1</v>
      </c>
      <c r="N563" s="3" t="n">
        <f aca="false">(A563-$A$2)*86400</f>
        <v>590.953000006</v>
      </c>
      <c r="O563" s="3" t="n">
        <f aca="false">D563*0.3048</f>
        <v>8.41248</v>
      </c>
      <c r="P563" s="3" t="n">
        <f aca="false">E563*0.44704</f>
        <v>0</v>
      </c>
      <c r="Q563" s="3" t="n">
        <f aca="false">F563*0.44704</f>
        <v>0</v>
      </c>
    </row>
    <row r="564" customFormat="false" ht="15" hidden="false" customHeight="false" outlineLevel="0" collapsed="false">
      <c r="A564" s="8" t="n">
        <v>46315.8982158449</v>
      </c>
      <c r="B564" s="3" t="s">
        <v>585</v>
      </c>
      <c r="C564" s="0" t="n">
        <v>3</v>
      </c>
      <c r="D564" s="0" t="n">
        <v>27.2</v>
      </c>
      <c r="E564" s="0" t="n">
        <v>0</v>
      </c>
      <c r="F564" s="0" t="n">
        <v>0</v>
      </c>
      <c r="G564" s="0" t="n">
        <v>-1.1</v>
      </c>
      <c r="H564" s="0" t="n">
        <v>0</v>
      </c>
      <c r="I564" s="0" t="n">
        <v>0</v>
      </c>
      <c r="J564" s="0" t="n">
        <v>277</v>
      </c>
      <c r="K564" s="0" t="n">
        <v>-35.3630965</v>
      </c>
      <c r="L564" s="0" t="n">
        <v>149.1637991</v>
      </c>
      <c r="M564" s="0" t="n">
        <v>432.1</v>
      </c>
      <c r="N564" s="3" t="n">
        <f aca="false">(A564-$A$2)*86400</f>
        <v>591.946999845</v>
      </c>
      <c r="O564" s="3" t="n">
        <f aca="false">D564*0.3048</f>
        <v>8.29056</v>
      </c>
      <c r="P564" s="3" t="n">
        <f aca="false">E564*0.44704</f>
        <v>0</v>
      </c>
      <c r="Q564" s="3" t="n">
        <f aca="false">F564*0.44704</f>
        <v>0</v>
      </c>
    </row>
    <row r="565" customFormat="false" ht="15" hidden="false" customHeight="false" outlineLevel="0" collapsed="false">
      <c r="A565" s="8" t="n">
        <v>46315.898227419</v>
      </c>
      <c r="B565" s="3" t="s">
        <v>586</v>
      </c>
      <c r="C565" s="0" t="n">
        <v>3</v>
      </c>
      <c r="D565" s="0" t="n">
        <v>26.8</v>
      </c>
      <c r="E565" s="0" t="n">
        <v>0</v>
      </c>
      <c r="F565" s="0" t="n">
        <v>0</v>
      </c>
      <c r="G565" s="0" t="n">
        <v>-1.1</v>
      </c>
      <c r="H565" s="0" t="n">
        <v>0</v>
      </c>
      <c r="I565" s="0" t="n">
        <v>0</v>
      </c>
      <c r="J565" s="0" t="n">
        <v>277</v>
      </c>
      <c r="K565" s="0" t="n">
        <v>-35.3630965</v>
      </c>
      <c r="L565" s="0" t="n">
        <v>149.1637991</v>
      </c>
      <c r="M565" s="0" t="n">
        <v>432.1</v>
      </c>
      <c r="N565" s="3" t="n">
        <f aca="false">(A565-$A$2)*86400</f>
        <v>592.94699945</v>
      </c>
      <c r="O565" s="3" t="n">
        <f aca="false">D565*0.3048</f>
        <v>8.16864</v>
      </c>
      <c r="P565" s="3" t="n">
        <f aca="false">E565*0.44704</f>
        <v>0</v>
      </c>
      <c r="Q565" s="3" t="n">
        <f aca="false">F565*0.44704</f>
        <v>0</v>
      </c>
    </row>
    <row r="566" customFormat="false" ht="15" hidden="false" customHeight="false" outlineLevel="0" collapsed="false">
      <c r="A566" s="8" t="n">
        <v>46315.8982390162</v>
      </c>
      <c r="B566" s="3" t="s">
        <v>587</v>
      </c>
      <c r="C566" s="0" t="n">
        <v>3</v>
      </c>
      <c r="D566" s="0" t="n">
        <v>26.4</v>
      </c>
      <c r="E566" s="0" t="n">
        <v>0</v>
      </c>
      <c r="F566" s="0" t="n">
        <v>0</v>
      </c>
      <c r="G566" s="0" t="n">
        <v>-1.1</v>
      </c>
      <c r="H566" s="0" t="n">
        <v>0</v>
      </c>
      <c r="I566" s="0" t="n">
        <v>0</v>
      </c>
      <c r="J566" s="0" t="n">
        <v>277</v>
      </c>
      <c r="K566" s="0" t="n">
        <v>-35.3630965</v>
      </c>
      <c r="L566" s="0" t="n">
        <v>149.1637991</v>
      </c>
      <c r="M566" s="0" t="n">
        <v>432.1</v>
      </c>
      <c r="N566" s="3" t="n">
        <f aca="false">(A566-$A$2)*86400</f>
        <v>593.949000653</v>
      </c>
      <c r="O566" s="3" t="n">
        <f aca="false">D566*0.3048</f>
        <v>8.04672</v>
      </c>
      <c r="P566" s="3" t="n">
        <f aca="false">E566*0.44704</f>
        <v>0</v>
      </c>
      <c r="Q566" s="3" t="n">
        <f aca="false">F566*0.44704</f>
        <v>0</v>
      </c>
    </row>
    <row r="567" customFormat="false" ht="15" hidden="false" customHeight="false" outlineLevel="0" collapsed="false">
      <c r="A567" s="8" t="n">
        <v>46315.8982505208</v>
      </c>
      <c r="B567" s="3" t="s">
        <v>588</v>
      </c>
      <c r="C567" s="0" t="n">
        <v>3</v>
      </c>
      <c r="D567" s="0" t="n">
        <v>26</v>
      </c>
      <c r="E567" s="0" t="n">
        <v>0</v>
      </c>
      <c r="F567" s="0" t="n">
        <v>0</v>
      </c>
      <c r="G567" s="0" t="n">
        <v>-1.1</v>
      </c>
      <c r="H567" s="0" t="n">
        <v>0</v>
      </c>
      <c r="I567" s="0" t="n">
        <v>0</v>
      </c>
      <c r="J567" s="0" t="n">
        <v>277</v>
      </c>
      <c r="K567" s="0" t="n">
        <v>-35.3630965</v>
      </c>
      <c r="L567" s="0" t="n">
        <v>149.1637991</v>
      </c>
      <c r="M567" s="0" t="n">
        <v>432.1</v>
      </c>
      <c r="N567" s="3" t="n">
        <f aca="false">(A567-$A$2)*86400</f>
        <v>594.942999863</v>
      </c>
      <c r="O567" s="3" t="n">
        <f aca="false">D567*0.3048</f>
        <v>7.9248</v>
      </c>
      <c r="P567" s="3" t="n">
        <f aca="false">E567*0.44704</f>
        <v>0</v>
      </c>
      <c r="Q567" s="3" t="n">
        <f aca="false">F567*0.44704</f>
        <v>0</v>
      </c>
    </row>
    <row r="568" customFormat="false" ht="15" hidden="false" customHeight="false" outlineLevel="0" collapsed="false">
      <c r="A568" s="8" t="n">
        <v>46315.8982619907</v>
      </c>
      <c r="B568" s="3" t="s">
        <v>589</v>
      </c>
      <c r="C568" s="0" t="n">
        <v>3</v>
      </c>
      <c r="D568" s="0" t="n">
        <v>25.5</v>
      </c>
      <c r="E568" s="0" t="n">
        <v>0</v>
      </c>
      <c r="F568" s="0" t="n">
        <v>0</v>
      </c>
      <c r="G568" s="0" t="n">
        <v>-1.1</v>
      </c>
      <c r="H568" s="0" t="n">
        <v>0</v>
      </c>
      <c r="I568" s="0" t="n">
        <v>0</v>
      </c>
      <c r="J568" s="0" t="n">
        <v>277</v>
      </c>
      <c r="K568" s="0" t="n">
        <v>-35.3630965</v>
      </c>
      <c r="L568" s="0" t="n">
        <v>149.1637991</v>
      </c>
      <c r="M568" s="0" t="n">
        <v>432.1</v>
      </c>
      <c r="N568" s="3" t="n">
        <f aca="false">(A568-$A$2)*86400</f>
        <v>595.933999819</v>
      </c>
      <c r="O568" s="3" t="n">
        <f aca="false">D568*0.3048</f>
        <v>7.7724</v>
      </c>
      <c r="P568" s="3" t="n">
        <f aca="false">E568*0.44704</f>
        <v>0</v>
      </c>
      <c r="Q568" s="3" t="n">
        <f aca="false">F568*0.44704</f>
        <v>0</v>
      </c>
    </row>
    <row r="569" customFormat="false" ht="15" hidden="false" customHeight="false" outlineLevel="0" collapsed="false">
      <c r="A569" s="8" t="n">
        <v>46315.8982737384</v>
      </c>
      <c r="B569" s="3" t="s">
        <v>590</v>
      </c>
      <c r="C569" s="0" t="n">
        <v>3</v>
      </c>
      <c r="D569" s="0" t="n">
        <v>25.1</v>
      </c>
      <c r="E569" s="0" t="n">
        <v>0</v>
      </c>
      <c r="F569" s="0" t="n">
        <v>0</v>
      </c>
      <c r="G569" s="0" t="n">
        <v>-1.1</v>
      </c>
      <c r="H569" s="0" t="n">
        <v>0</v>
      </c>
      <c r="I569" s="0" t="n">
        <v>0</v>
      </c>
      <c r="J569" s="0" t="n">
        <v>277</v>
      </c>
      <c r="K569" s="0" t="n">
        <v>-35.3630965</v>
      </c>
      <c r="L569" s="0" t="n">
        <v>149.1637991</v>
      </c>
      <c r="M569" s="0" t="n">
        <v>432.1</v>
      </c>
      <c r="N569" s="3" t="n">
        <f aca="false">(A569-$A$2)*86400</f>
        <v>596.949000097</v>
      </c>
      <c r="O569" s="3" t="n">
        <f aca="false">D569*0.3048</f>
        <v>7.65048</v>
      </c>
      <c r="P569" s="3" t="n">
        <f aca="false">E569*0.44704</f>
        <v>0</v>
      </c>
      <c r="Q569" s="3" t="n">
        <f aca="false">F569*0.44704</f>
        <v>0</v>
      </c>
    </row>
    <row r="570" customFormat="false" ht="15" hidden="false" customHeight="false" outlineLevel="0" collapsed="false">
      <c r="A570" s="8" t="n">
        <v>46315.8982852083</v>
      </c>
      <c r="B570" s="3" t="s">
        <v>591</v>
      </c>
      <c r="C570" s="0" t="n">
        <v>3</v>
      </c>
      <c r="D570" s="0" t="n">
        <v>24.7</v>
      </c>
      <c r="E570" s="0" t="n">
        <v>0</v>
      </c>
      <c r="F570" s="0" t="n">
        <v>0</v>
      </c>
      <c r="G570" s="0" t="n">
        <v>-1.1</v>
      </c>
      <c r="H570" s="0" t="n">
        <v>0</v>
      </c>
      <c r="I570" s="0" t="n">
        <v>0</v>
      </c>
      <c r="J570" s="0" t="n">
        <v>277</v>
      </c>
      <c r="K570" s="0" t="n">
        <v>-35.3630965</v>
      </c>
      <c r="L570" s="0" t="n">
        <v>149.1637991</v>
      </c>
      <c r="M570" s="0" t="n">
        <v>432.1</v>
      </c>
      <c r="N570" s="3" t="n">
        <f aca="false">(A570-$A$2)*86400</f>
        <v>597.940000682</v>
      </c>
      <c r="O570" s="3" t="n">
        <f aca="false">D570*0.3048</f>
        <v>7.52856</v>
      </c>
      <c r="P570" s="3" t="n">
        <f aca="false">E570*0.44704</f>
        <v>0</v>
      </c>
      <c r="Q570" s="3" t="n">
        <f aca="false">F570*0.44704</f>
        <v>0</v>
      </c>
    </row>
    <row r="571" customFormat="false" ht="15" hidden="false" customHeight="false" outlineLevel="0" collapsed="false">
      <c r="A571" s="8" t="n">
        <v>46315.898296875</v>
      </c>
      <c r="B571" s="3" t="s">
        <v>592</v>
      </c>
      <c r="C571" s="0" t="n">
        <v>3</v>
      </c>
      <c r="D571" s="0" t="n">
        <v>24.3</v>
      </c>
      <c r="E571" s="0" t="n">
        <v>0</v>
      </c>
      <c r="F571" s="0" t="n">
        <v>0</v>
      </c>
      <c r="G571" s="0" t="n">
        <v>-1.1</v>
      </c>
      <c r="H571" s="0" t="n">
        <v>0</v>
      </c>
      <c r="I571" s="0" t="n">
        <v>0</v>
      </c>
      <c r="J571" s="0" t="n">
        <v>277</v>
      </c>
      <c r="K571" s="0" t="n">
        <v>-35.3630965</v>
      </c>
      <c r="L571" s="0" t="n">
        <v>149.1637991</v>
      </c>
      <c r="M571" s="0" t="n">
        <v>432.1</v>
      </c>
      <c r="N571" s="3" t="n">
        <f aca="false">(A571-$A$2)*86400</f>
        <v>598.947999766</v>
      </c>
      <c r="O571" s="3" t="n">
        <f aca="false">D571*0.3048</f>
        <v>7.40664</v>
      </c>
      <c r="P571" s="3" t="n">
        <f aca="false">E571*0.44704</f>
        <v>0</v>
      </c>
      <c r="Q571" s="3" t="n">
        <f aca="false">F571*0.44704</f>
        <v>0</v>
      </c>
    </row>
    <row r="572" customFormat="false" ht="15" hidden="false" customHeight="false" outlineLevel="0" collapsed="false">
      <c r="A572" s="8" t="n">
        <v>46315.8983086111</v>
      </c>
      <c r="B572" s="3" t="s">
        <v>593</v>
      </c>
      <c r="C572" s="0" t="n">
        <v>3</v>
      </c>
      <c r="D572" s="0" t="n">
        <v>23.9</v>
      </c>
      <c r="E572" s="0" t="n">
        <v>0</v>
      </c>
      <c r="F572" s="0" t="n">
        <v>0</v>
      </c>
      <c r="G572" s="0" t="n">
        <v>-1.1</v>
      </c>
      <c r="H572" s="0" t="n">
        <v>0</v>
      </c>
      <c r="I572" s="0" t="n">
        <v>0</v>
      </c>
      <c r="J572" s="0" t="n">
        <v>277</v>
      </c>
      <c r="K572" s="0" t="n">
        <v>-35.3630965</v>
      </c>
      <c r="L572" s="0" t="n">
        <v>149.1637991</v>
      </c>
      <c r="M572" s="0" t="n">
        <v>432.1</v>
      </c>
      <c r="N572" s="3" t="n">
        <f aca="false">(A572-$A$2)*86400</f>
        <v>599.961999873</v>
      </c>
      <c r="O572" s="3" t="n">
        <f aca="false">D572*0.3048</f>
        <v>7.28472</v>
      </c>
      <c r="P572" s="3" t="n">
        <f aca="false">E572*0.44704</f>
        <v>0</v>
      </c>
      <c r="Q572" s="3" t="n">
        <f aca="false">F572*0.44704</f>
        <v>0</v>
      </c>
    </row>
    <row r="573" customFormat="false" ht="15" hidden="false" customHeight="false" outlineLevel="0" collapsed="false">
      <c r="A573" s="8" t="n">
        <v>46315.8983200232</v>
      </c>
      <c r="B573" s="3" t="s">
        <v>594</v>
      </c>
      <c r="C573" s="0" t="n">
        <v>3</v>
      </c>
      <c r="D573" s="0" t="n">
        <v>23.5</v>
      </c>
      <c r="E573" s="0" t="n">
        <v>0</v>
      </c>
      <c r="F573" s="0" t="n">
        <v>0</v>
      </c>
      <c r="G573" s="0" t="n">
        <v>-1.1</v>
      </c>
      <c r="H573" s="0" t="n">
        <v>0</v>
      </c>
      <c r="I573" s="0" t="n">
        <v>0</v>
      </c>
      <c r="J573" s="0" t="n">
        <v>278</v>
      </c>
      <c r="K573" s="0" t="n">
        <v>-35.3630965</v>
      </c>
      <c r="L573" s="0" t="n">
        <v>149.1637991</v>
      </c>
      <c r="M573" s="0" t="n">
        <v>432.1</v>
      </c>
      <c r="N573" s="3" t="n">
        <f aca="false">(A573-$A$2)*86400</f>
        <v>600.948000233</v>
      </c>
      <c r="O573" s="3" t="n">
        <f aca="false">D573*0.3048</f>
        <v>7.1628</v>
      </c>
      <c r="P573" s="3" t="n">
        <f aca="false">E573*0.44704</f>
        <v>0</v>
      </c>
      <c r="Q573" s="3" t="n">
        <f aca="false">F573*0.44704</f>
        <v>0</v>
      </c>
    </row>
    <row r="574" customFormat="false" ht="15" hidden="false" customHeight="false" outlineLevel="0" collapsed="false">
      <c r="A574" s="8" t="n">
        <v>46315.8983321991</v>
      </c>
      <c r="B574" s="3" t="s">
        <v>595</v>
      </c>
      <c r="C574" s="0" t="n">
        <v>3</v>
      </c>
      <c r="D574" s="0" t="n">
        <v>23.1</v>
      </c>
      <c r="E574" s="0" t="n">
        <v>0</v>
      </c>
      <c r="F574" s="0" t="n">
        <v>0</v>
      </c>
      <c r="G574" s="0" t="n">
        <v>-1.1</v>
      </c>
      <c r="H574" s="0" t="n">
        <v>0</v>
      </c>
      <c r="I574" s="0" t="n">
        <v>0</v>
      </c>
      <c r="J574" s="0" t="n">
        <v>277</v>
      </c>
      <c r="K574" s="0" t="n">
        <v>-35.3630965</v>
      </c>
      <c r="L574" s="0" t="n">
        <v>149.1637991</v>
      </c>
      <c r="M574" s="0" t="n">
        <v>432.1</v>
      </c>
      <c r="N574" s="3" t="n">
        <f aca="false">(A574-$A$2)*86400</f>
        <v>602</v>
      </c>
      <c r="O574" s="3" t="n">
        <f aca="false">D574*0.3048</f>
        <v>7.04088</v>
      </c>
      <c r="P574" s="3" t="n">
        <f aca="false">E574*0.44704</f>
        <v>0</v>
      </c>
      <c r="Q574" s="3" t="n">
        <f aca="false">F574*0.44704</f>
        <v>0</v>
      </c>
    </row>
    <row r="575" customFormat="false" ht="15" hidden="false" customHeight="false" outlineLevel="0" collapsed="false">
      <c r="A575" s="8" t="n">
        <v>46315.898343044</v>
      </c>
      <c r="B575" s="3" t="s">
        <v>595</v>
      </c>
      <c r="C575" s="0" t="n">
        <v>3</v>
      </c>
      <c r="D575" s="0" t="n">
        <v>23.1</v>
      </c>
      <c r="E575" s="0" t="n">
        <v>0</v>
      </c>
      <c r="F575" s="0" t="n">
        <v>0</v>
      </c>
      <c r="G575" s="0" t="n">
        <v>-1.1</v>
      </c>
      <c r="H575" s="0" t="n">
        <v>0</v>
      </c>
      <c r="I575" s="0" t="n">
        <v>0</v>
      </c>
      <c r="J575" s="0" t="n">
        <v>277</v>
      </c>
      <c r="K575" s="0" t="n">
        <v>-35.3630965</v>
      </c>
      <c r="L575" s="0" t="n">
        <v>149.1637991</v>
      </c>
      <c r="M575" s="0" t="n">
        <v>432.1</v>
      </c>
      <c r="N575" s="3" t="n">
        <f aca="false">(A575-$A$2)*86400</f>
        <v>602.936999453</v>
      </c>
      <c r="O575" s="3" t="n">
        <f aca="false">D575*0.3048</f>
        <v>7.04088</v>
      </c>
      <c r="P575" s="3" t="n">
        <f aca="false">E575*0.44704</f>
        <v>0</v>
      </c>
      <c r="Q575" s="3" t="n">
        <f aca="false">F575*0.44704</f>
        <v>0</v>
      </c>
    </row>
    <row r="576" customFormat="false" ht="15" hidden="false" customHeight="false" outlineLevel="0" collapsed="false">
      <c r="A576" s="8" t="n">
        <v>46315.898354838</v>
      </c>
      <c r="B576" s="3" t="s">
        <v>596</v>
      </c>
      <c r="C576" s="0" t="n">
        <v>3</v>
      </c>
      <c r="D576" s="0" t="n">
        <v>22.7</v>
      </c>
      <c r="E576" s="0" t="n">
        <v>0</v>
      </c>
      <c r="F576" s="0" t="n">
        <v>0</v>
      </c>
      <c r="G576" s="0" t="n">
        <v>-1.1</v>
      </c>
      <c r="H576" s="0" t="n">
        <v>0</v>
      </c>
      <c r="I576" s="0" t="n">
        <v>0</v>
      </c>
      <c r="J576" s="0" t="n">
        <v>278</v>
      </c>
      <c r="K576" s="0" t="n">
        <v>-35.3630965</v>
      </c>
      <c r="L576" s="0" t="n">
        <v>149.1637991</v>
      </c>
      <c r="M576" s="0" t="n">
        <v>432.1</v>
      </c>
      <c r="N576" s="3" t="n">
        <f aca="false">(A576-$A$2)*86400</f>
        <v>603.955999785</v>
      </c>
      <c r="O576" s="3" t="n">
        <f aca="false">D576*0.3048</f>
        <v>6.91896</v>
      </c>
      <c r="P576" s="3" t="n">
        <f aca="false">E576*0.44704</f>
        <v>0</v>
      </c>
      <c r="Q576" s="3" t="n">
        <f aca="false">F576*0.44704</f>
        <v>0</v>
      </c>
    </row>
    <row r="577" customFormat="false" ht="15" hidden="false" customHeight="false" outlineLevel="0" collapsed="false">
      <c r="A577" s="8" t="n">
        <v>46315.8983662732</v>
      </c>
      <c r="B577" s="3" t="s">
        <v>597</v>
      </c>
      <c r="C577" s="0" t="n">
        <v>3</v>
      </c>
      <c r="D577" s="0" t="n">
        <v>22.3</v>
      </c>
      <c r="E577" s="0" t="n">
        <v>0</v>
      </c>
      <c r="F577" s="0" t="n">
        <v>0</v>
      </c>
      <c r="G577" s="0" t="n">
        <v>-1.1</v>
      </c>
      <c r="H577" s="0" t="n">
        <v>0</v>
      </c>
      <c r="I577" s="0" t="n">
        <v>0</v>
      </c>
      <c r="J577" s="0" t="n">
        <v>278</v>
      </c>
      <c r="K577" s="0" t="n">
        <v>-35.3630965</v>
      </c>
      <c r="L577" s="0" t="n">
        <v>149.1637991</v>
      </c>
      <c r="M577" s="0" t="n">
        <v>432.1</v>
      </c>
      <c r="N577" s="3" t="n">
        <f aca="false">(A577-$A$2)*86400</f>
        <v>604.943999857</v>
      </c>
      <c r="O577" s="3" t="n">
        <f aca="false">D577*0.3048</f>
        <v>6.79704</v>
      </c>
      <c r="P577" s="3" t="n">
        <f aca="false">E577*0.44704</f>
        <v>0</v>
      </c>
      <c r="Q577" s="3" t="n">
        <f aca="false">F577*0.44704</f>
        <v>0</v>
      </c>
    </row>
    <row r="578" customFormat="false" ht="15" hidden="false" customHeight="false" outlineLevel="0" collapsed="false">
      <c r="A578" s="8" t="n">
        <v>46315.8983779861</v>
      </c>
      <c r="B578" s="3" t="s">
        <v>598</v>
      </c>
      <c r="C578" s="0" t="n">
        <v>3</v>
      </c>
      <c r="D578" s="0" t="n">
        <v>21.9</v>
      </c>
      <c r="E578" s="0" t="n">
        <v>0</v>
      </c>
      <c r="F578" s="0" t="n">
        <v>0</v>
      </c>
      <c r="G578" s="0" t="n">
        <v>-1.1</v>
      </c>
      <c r="H578" s="0" t="n">
        <v>0</v>
      </c>
      <c r="I578" s="0" t="n">
        <v>0</v>
      </c>
      <c r="J578" s="0" t="n">
        <v>278</v>
      </c>
      <c r="K578" s="0" t="n">
        <v>-35.3630965</v>
      </c>
      <c r="L578" s="0" t="n">
        <v>149.1637991</v>
      </c>
      <c r="M578" s="0" t="n">
        <v>432.1</v>
      </c>
      <c r="N578" s="3" t="n">
        <f aca="false">(A578-$A$2)*86400</f>
        <v>605.955999623</v>
      </c>
      <c r="O578" s="3" t="n">
        <f aca="false">D578*0.3048</f>
        <v>6.67512</v>
      </c>
      <c r="P578" s="3" t="n">
        <f aca="false">E578*0.44704</f>
        <v>0</v>
      </c>
      <c r="Q578" s="3" t="n">
        <f aca="false">F578*0.44704</f>
        <v>0</v>
      </c>
    </row>
    <row r="579" customFormat="false" ht="15" hidden="false" customHeight="false" outlineLevel="0" collapsed="false">
      <c r="A579" s="8" t="n">
        <v>46315.8983895486</v>
      </c>
      <c r="B579" s="3" t="s">
        <v>599</v>
      </c>
      <c r="C579" s="0" t="n">
        <v>3</v>
      </c>
      <c r="D579" s="0" t="n">
        <v>21.4</v>
      </c>
      <c r="E579" s="0" t="n">
        <v>0</v>
      </c>
      <c r="F579" s="0" t="n">
        <v>0</v>
      </c>
      <c r="G579" s="0" t="n">
        <v>-1.1</v>
      </c>
      <c r="H579" s="0" t="n">
        <v>0</v>
      </c>
      <c r="I579" s="0" t="n">
        <v>0</v>
      </c>
      <c r="J579" s="0" t="n">
        <v>277</v>
      </c>
      <c r="K579" s="0" t="n">
        <v>-35.3630965</v>
      </c>
      <c r="L579" s="0" t="n">
        <v>149.1637991</v>
      </c>
      <c r="M579" s="0" t="n">
        <v>432.1</v>
      </c>
      <c r="N579" s="3" t="n">
        <f aca="false">(A579-$A$2)*86400</f>
        <v>606.954999687</v>
      </c>
      <c r="O579" s="3" t="n">
        <f aca="false">D579*0.3048</f>
        <v>6.52272</v>
      </c>
      <c r="P579" s="3" t="n">
        <f aca="false">E579*0.44704</f>
        <v>0</v>
      </c>
      <c r="Q579" s="3" t="n">
        <f aca="false">F579*0.44704</f>
        <v>0</v>
      </c>
    </row>
    <row r="580" customFormat="false" ht="15" hidden="false" customHeight="false" outlineLevel="0" collapsed="false">
      <c r="A580" s="8" t="n">
        <v>46315.8984010648</v>
      </c>
      <c r="B580" s="3" t="s">
        <v>600</v>
      </c>
      <c r="C580" s="0" t="n">
        <v>3</v>
      </c>
      <c r="D580" s="0" t="n">
        <v>21</v>
      </c>
      <c r="E580" s="0" t="n">
        <v>0</v>
      </c>
      <c r="F580" s="0" t="n">
        <v>0</v>
      </c>
      <c r="G580" s="0" t="n">
        <v>-1.1</v>
      </c>
      <c r="H580" s="0" t="n">
        <v>0</v>
      </c>
      <c r="I580" s="0" t="n">
        <v>0</v>
      </c>
      <c r="J580" s="0" t="n">
        <v>277</v>
      </c>
      <c r="K580" s="0" t="n">
        <v>-35.3630965</v>
      </c>
      <c r="L580" s="0" t="n">
        <v>149.1637991</v>
      </c>
      <c r="M580" s="0" t="n">
        <v>432.1</v>
      </c>
      <c r="N580" s="3" t="n">
        <f aca="false">(A580-$A$2)*86400</f>
        <v>607.949999696</v>
      </c>
      <c r="O580" s="3" t="n">
        <f aca="false">D580*0.3048</f>
        <v>6.4008</v>
      </c>
      <c r="P580" s="3" t="n">
        <f aca="false">E580*0.44704</f>
        <v>0</v>
      </c>
      <c r="Q580" s="3" t="n">
        <f aca="false">F580*0.44704</f>
        <v>0</v>
      </c>
    </row>
    <row r="581" customFormat="false" ht="15" hidden="false" customHeight="false" outlineLevel="0" collapsed="false">
      <c r="A581" s="8" t="n">
        <v>46315.8984125926</v>
      </c>
      <c r="B581" s="3" t="s">
        <v>601</v>
      </c>
      <c r="C581" s="0" t="n">
        <v>3</v>
      </c>
      <c r="D581" s="0" t="n">
        <v>20.6</v>
      </c>
      <c r="E581" s="0" t="n">
        <v>0</v>
      </c>
      <c r="F581" s="0" t="n">
        <v>0</v>
      </c>
      <c r="G581" s="0" t="n">
        <v>-1.1</v>
      </c>
      <c r="H581" s="0" t="n">
        <v>0</v>
      </c>
      <c r="I581" s="0" t="n">
        <v>0</v>
      </c>
      <c r="J581" s="0" t="n">
        <v>277</v>
      </c>
      <c r="K581" s="0" t="n">
        <v>-35.3630965</v>
      </c>
      <c r="L581" s="0" t="n">
        <v>149.1637991</v>
      </c>
      <c r="M581" s="0" t="n">
        <v>432.1</v>
      </c>
      <c r="N581" s="3" t="n">
        <f aca="false">(A581-$A$2)*86400</f>
        <v>608.945999876</v>
      </c>
      <c r="O581" s="3" t="n">
        <f aca="false">D581*0.3048</f>
        <v>6.27888</v>
      </c>
      <c r="P581" s="3" t="n">
        <f aca="false">E581*0.44704</f>
        <v>0</v>
      </c>
      <c r="Q581" s="3" t="n">
        <f aca="false">F581*0.44704</f>
        <v>0</v>
      </c>
    </row>
    <row r="582" customFormat="false" ht="15" hidden="false" customHeight="false" outlineLevel="0" collapsed="false">
      <c r="A582" s="8" t="n">
        <v>46315.8984240509</v>
      </c>
      <c r="B582" s="3" t="s">
        <v>602</v>
      </c>
      <c r="C582" s="0" t="n">
        <v>3</v>
      </c>
      <c r="D582" s="0" t="n">
        <v>20.2</v>
      </c>
      <c r="E582" s="0" t="n">
        <v>0</v>
      </c>
      <c r="F582" s="0" t="n">
        <v>0</v>
      </c>
      <c r="G582" s="0" t="n">
        <v>-1.1</v>
      </c>
      <c r="H582" s="0" t="n">
        <v>0</v>
      </c>
      <c r="I582" s="0" t="n">
        <v>0</v>
      </c>
      <c r="J582" s="0" t="n">
        <v>277</v>
      </c>
      <c r="K582" s="0" t="n">
        <v>-35.3630965</v>
      </c>
      <c r="L582" s="0" t="n">
        <v>149.1637991</v>
      </c>
      <c r="M582" s="0" t="n">
        <v>432.1</v>
      </c>
      <c r="N582" s="3" t="n">
        <f aca="false">(A582-$A$2)*86400</f>
        <v>609.935999661</v>
      </c>
      <c r="O582" s="3" t="n">
        <f aca="false">D582*0.3048</f>
        <v>6.15696</v>
      </c>
      <c r="P582" s="3" t="n">
        <f aca="false">E582*0.44704</f>
        <v>0</v>
      </c>
      <c r="Q582" s="3" t="n">
        <f aca="false">F582*0.44704</f>
        <v>0</v>
      </c>
    </row>
    <row r="583" customFormat="false" ht="15" hidden="false" customHeight="false" outlineLevel="0" collapsed="false">
      <c r="A583" s="8" t="n">
        <v>46315.898435625</v>
      </c>
      <c r="B583" s="3" t="s">
        <v>603</v>
      </c>
      <c r="C583" s="0" t="n">
        <v>3</v>
      </c>
      <c r="D583" s="0" t="n">
        <v>19.8</v>
      </c>
      <c r="E583" s="0" t="n">
        <v>0</v>
      </c>
      <c r="F583" s="0" t="n">
        <v>0</v>
      </c>
      <c r="G583" s="0" t="n">
        <v>-1.1</v>
      </c>
      <c r="H583" s="0" t="n">
        <v>0</v>
      </c>
      <c r="I583" s="0" t="n">
        <v>0</v>
      </c>
      <c r="J583" s="0" t="n">
        <v>277</v>
      </c>
      <c r="K583" s="0" t="n">
        <v>-35.3630965</v>
      </c>
      <c r="L583" s="0" t="n">
        <v>149.1637991</v>
      </c>
      <c r="M583" s="0" t="n">
        <v>432.1</v>
      </c>
      <c r="N583" s="3" t="n">
        <f aca="false">(A583-$A$2)*86400</f>
        <v>610.935999895</v>
      </c>
      <c r="O583" s="3" t="n">
        <f aca="false">D583*0.3048</f>
        <v>6.03504</v>
      </c>
      <c r="P583" s="3" t="n">
        <f aca="false">E583*0.44704</f>
        <v>0</v>
      </c>
      <c r="Q583" s="3" t="n">
        <f aca="false">F583*0.44704</f>
        <v>0</v>
      </c>
    </row>
    <row r="584" customFormat="false" ht="15" hidden="false" customHeight="false" outlineLevel="0" collapsed="false">
      <c r="A584" s="8" t="n">
        <v>46315.8984474537</v>
      </c>
      <c r="B584" s="3" t="s">
        <v>604</v>
      </c>
      <c r="C584" s="0" t="n">
        <v>3</v>
      </c>
      <c r="D584" s="0" t="n">
        <v>19.4</v>
      </c>
      <c r="E584" s="0" t="n">
        <v>0</v>
      </c>
      <c r="F584" s="0" t="n">
        <v>0</v>
      </c>
      <c r="G584" s="0" t="n">
        <v>-1.1</v>
      </c>
      <c r="H584" s="0" t="n">
        <v>0</v>
      </c>
      <c r="I584" s="0" t="n">
        <v>0</v>
      </c>
      <c r="J584" s="0" t="n">
        <v>277</v>
      </c>
      <c r="K584" s="0" t="n">
        <v>-35.3630965</v>
      </c>
      <c r="L584" s="0" t="n">
        <v>149.1637991</v>
      </c>
      <c r="M584" s="0" t="n">
        <v>432.1</v>
      </c>
      <c r="N584" s="3" t="n">
        <f aca="false">(A584-$A$2)*86400</f>
        <v>611.95800011</v>
      </c>
      <c r="O584" s="3" t="n">
        <f aca="false">D584*0.3048</f>
        <v>5.91312</v>
      </c>
      <c r="P584" s="3" t="n">
        <f aca="false">E584*0.44704</f>
        <v>0</v>
      </c>
      <c r="Q584" s="3" t="n">
        <f aca="false">F584*0.44704</f>
        <v>0</v>
      </c>
    </row>
    <row r="585" customFormat="false" ht="15" hidden="false" customHeight="false" outlineLevel="0" collapsed="false">
      <c r="A585" s="8" t="n">
        <v>46315.8984589236</v>
      </c>
      <c r="B585" s="3" t="s">
        <v>605</v>
      </c>
      <c r="C585" s="0" t="n">
        <v>3</v>
      </c>
      <c r="D585" s="0" t="n">
        <v>19</v>
      </c>
      <c r="E585" s="0" t="n">
        <v>0</v>
      </c>
      <c r="F585" s="0" t="n">
        <v>0</v>
      </c>
      <c r="G585" s="0" t="n">
        <v>-1.1</v>
      </c>
      <c r="H585" s="0" t="n">
        <v>0</v>
      </c>
      <c r="I585" s="0" t="n">
        <v>0</v>
      </c>
      <c r="J585" s="0" t="n">
        <v>277</v>
      </c>
      <c r="K585" s="0" t="n">
        <v>-35.3630965</v>
      </c>
      <c r="L585" s="0" t="n">
        <v>149.1637991</v>
      </c>
      <c r="M585" s="0" t="n">
        <v>432.1</v>
      </c>
      <c r="N585" s="3" t="n">
        <f aca="false">(A585-$A$2)*86400</f>
        <v>612.949000066</v>
      </c>
      <c r="O585" s="3" t="n">
        <f aca="false">D585*0.3048</f>
        <v>5.7912</v>
      </c>
      <c r="P585" s="3" t="n">
        <f aca="false">E585*0.44704</f>
        <v>0</v>
      </c>
      <c r="Q585" s="3" t="n">
        <f aca="false">F585*0.44704</f>
        <v>0</v>
      </c>
    </row>
    <row r="586" customFormat="false" ht="15" hidden="false" customHeight="false" outlineLevel="0" collapsed="false">
      <c r="A586" s="8" t="n">
        <v>46315.8984704861</v>
      </c>
      <c r="B586" s="3" t="s">
        <v>606</v>
      </c>
      <c r="C586" s="0" t="n">
        <v>3</v>
      </c>
      <c r="D586" s="0" t="n">
        <v>18.6</v>
      </c>
      <c r="E586" s="0" t="n">
        <v>0</v>
      </c>
      <c r="F586" s="0" t="n">
        <v>0</v>
      </c>
      <c r="G586" s="0" t="n">
        <v>-1.1</v>
      </c>
      <c r="H586" s="0" t="n">
        <v>0</v>
      </c>
      <c r="I586" s="0" t="n">
        <v>0</v>
      </c>
      <c r="J586" s="0" t="n">
        <v>277</v>
      </c>
      <c r="K586" s="0" t="n">
        <v>-35.3630965</v>
      </c>
      <c r="L586" s="0" t="n">
        <v>149.1637991</v>
      </c>
      <c r="M586" s="0" t="n">
        <v>432.1</v>
      </c>
      <c r="N586" s="3" t="n">
        <f aca="false">(A586-$A$2)*86400</f>
        <v>613.9479995</v>
      </c>
      <c r="O586" s="3" t="n">
        <f aca="false">D586*0.3048</f>
        <v>5.66928</v>
      </c>
      <c r="P586" s="3" t="n">
        <f aca="false">E586*0.44704</f>
        <v>0</v>
      </c>
      <c r="Q586" s="3" t="n">
        <f aca="false">F586*0.44704</f>
        <v>0</v>
      </c>
    </row>
    <row r="587" customFormat="false" ht="15" hidden="false" customHeight="false" outlineLevel="0" collapsed="false">
      <c r="A587" s="8" t="n">
        <v>46315.8984821181</v>
      </c>
      <c r="B587" s="3" t="s">
        <v>607</v>
      </c>
      <c r="C587" s="0" t="n">
        <v>3</v>
      </c>
      <c r="D587" s="0" t="n">
        <v>18.1</v>
      </c>
      <c r="E587" s="0" t="n">
        <v>0</v>
      </c>
      <c r="F587" s="0" t="n">
        <v>0</v>
      </c>
      <c r="G587" s="0" t="n">
        <v>-1.1</v>
      </c>
      <c r="H587" s="0" t="n">
        <v>0</v>
      </c>
      <c r="I587" s="0" t="n">
        <v>0</v>
      </c>
      <c r="J587" s="0" t="n">
        <v>278</v>
      </c>
      <c r="K587" s="0" t="n">
        <v>-35.3630965</v>
      </c>
      <c r="L587" s="0" t="n">
        <v>149.1637991</v>
      </c>
      <c r="M587" s="0" t="n">
        <v>432.1</v>
      </c>
      <c r="N587" s="3" t="n">
        <f aca="false">(A587-$A$2)*86400</f>
        <v>614.952999958</v>
      </c>
      <c r="O587" s="3" t="n">
        <f aca="false">D587*0.3048</f>
        <v>5.51688</v>
      </c>
      <c r="P587" s="3" t="n">
        <f aca="false">E587*0.44704</f>
        <v>0</v>
      </c>
      <c r="Q587" s="3" t="n">
        <f aca="false">F587*0.44704</f>
        <v>0</v>
      </c>
    </row>
    <row r="588" customFormat="false" ht="15" hidden="false" customHeight="false" outlineLevel="0" collapsed="false">
      <c r="A588" s="8" t="n">
        <v>46315.8984937963</v>
      </c>
      <c r="B588" s="3" t="s">
        <v>608</v>
      </c>
      <c r="C588" s="0" t="n">
        <v>3</v>
      </c>
      <c r="D588" s="0" t="n">
        <v>17.7</v>
      </c>
      <c r="E588" s="0" t="n">
        <v>0</v>
      </c>
      <c r="F588" s="0" t="n">
        <v>0</v>
      </c>
      <c r="G588" s="0" t="n">
        <v>-1.1</v>
      </c>
      <c r="H588" s="0" t="n">
        <v>0</v>
      </c>
      <c r="I588" s="0" t="n">
        <v>0</v>
      </c>
      <c r="J588" s="0" t="n">
        <v>277</v>
      </c>
      <c r="K588" s="0" t="n">
        <v>-35.3630965</v>
      </c>
      <c r="L588" s="0" t="n">
        <v>149.1637991</v>
      </c>
      <c r="M588" s="0" t="n">
        <v>432.1</v>
      </c>
      <c r="N588" s="3" t="n">
        <f aca="false">(A588-$A$2)*86400</f>
        <v>615.96200047</v>
      </c>
      <c r="O588" s="3" t="n">
        <f aca="false">D588*0.3048</f>
        <v>5.39496</v>
      </c>
      <c r="P588" s="3" t="n">
        <f aca="false">E588*0.44704</f>
        <v>0</v>
      </c>
      <c r="Q588" s="3" t="n">
        <f aca="false">F588*0.44704</f>
        <v>0</v>
      </c>
    </row>
    <row r="589" customFormat="false" ht="15" hidden="false" customHeight="false" outlineLevel="0" collapsed="false">
      <c r="A589" s="8" t="n">
        <v>46315.8985057292</v>
      </c>
      <c r="B589" s="3" t="s">
        <v>609</v>
      </c>
      <c r="C589" s="0" t="n">
        <v>3</v>
      </c>
      <c r="D589" s="0" t="n">
        <v>17.3</v>
      </c>
      <c r="E589" s="0" t="n">
        <v>0</v>
      </c>
      <c r="F589" s="0" t="n">
        <v>0</v>
      </c>
      <c r="G589" s="0" t="n">
        <v>-1.1</v>
      </c>
      <c r="H589" s="0" t="n">
        <v>0</v>
      </c>
      <c r="I589" s="0" t="n">
        <v>0</v>
      </c>
      <c r="J589" s="0" t="n">
        <v>277</v>
      </c>
      <c r="K589" s="0" t="n">
        <v>-35.3630965</v>
      </c>
      <c r="L589" s="0" t="n">
        <v>149.1637991</v>
      </c>
      <c r="M589" s="0" t="n">
        <v>432.1</v>
      </c>
      <c r="N589" s="3" t="n">
        <f aca="false">(A589-$A$2)*86400</f>
        <v>616.992999077</v>
      </c>
      <c r="O589" s="3" t="n">
        <f aca="false">D589*0.3048</f>
        <v>5.27304</v>
      </c>
      <c r="P589" s="3" t="n">
        <f aca="false">E589*0.44704</f>
        <v>0</v>
      </c>
      <c r="Q589" s="3" t="n">
        <f aca="false">F589*0.44704</f>
        <v>0</v>
      </c>
    </row>
    <row r="590" customFormat="false" ht="15" hidden="false" customHeight="false" outlineLevel="0" collapsed="false">
      <c r="A590" s="8" t="n">
        <v>46315.8985166551</v>
      </c>
      <c r="B590" s="3" t="s">
        <v>609</v>
      </c>
      <c r="C590" s="0" t="n">
        <v>3</v>
      </c>
      <c r="D590" s="0" t="n">
        <v>16.9</v>
      </c>
      <c r="E590" s="0" t="n">
        <v>0</v>
      </c>
      <c r="F590" s="0" t="n">
        <v>0</v>
      </c>
      <c r="G590" s="0" t="n">
        <v>-1.1</v>
      </c>
      <c r="H590" s="0" t="n">
        <v>0</v>
      </c>
      <c r="I590" s="0" t="n">
        <v>0</v>
      </c>
      <c r="J590" s="0" t="n">
        <v>277</v>
      </c>
      <c r="K590" s="0" t="n">
        <v>-35.3630965</v>
      </c>
      <c r="L590" s="0" t="n">
        <v>149.1637991</v>
      </c>
      <c r="M590" s="0" t="n">
        <v>432.1</v>
      </c>
      <c r="N590" s="3" t="n">
        <f aca="false">(A590-$A$2)*86400</f>
        <v>617.936999816</v>
      </c>
      <c r="O590" s="3" t="n">
        <f aca="false">D590*0.3048</f>
        <v>5.15112</v>
      </c>
      <c r="P590" s="3" t="n">
        <f aca="false">E590*0.44704</f>
        <v>0</v>
      </c>
      <c r="Q590" s="3" t="n">
        <f aca="false">F590*0.44704</f>
        <v>0</v>
      </c>
    </row>
    <row r="591" customFormat="false" ht="15" hidden="false" customHeight="false" outlineLevel="0" collapsed="false">
      <c r="A591" s="8" t="n">
        <v>46315.8985283912</v>
      </c>
      <c r="B591" s="3" t="s">
        <v>610</v>
      </c>
      <c r="C591" s="0" t="n">
        <v>3</v>
      </c>
      <c r="D591" s="0" t="n">
        <v>16.9</v>
      </c>
      <c r="E591" s="0" t="n">
        <v>0</v>
      </c>
      <c r="F591" s="0" t="n">
        <v>0</v>
      </c>
      <c r="G591" s="0" t="n">
        <v>-1.1</v>
      </c>
      <c r="H591" s="0" t="n">
        <v>0</v>
      </c>
      <c r="I591" s="0" t="n">
        <v>0</v>
      </c>
      <c r="J591" s="0" t="n">
        <v>277</v>
      </c>
      <c r="K591" s="0" t="n">
        <v>-35.3630965</v>
      </c>
      <c r="L591" s="0" t="n">
        <v>149.1637991</v>
      </c>
      <c r="M591" s="0" t="n">
        <v>432.1</v>
      </c>
      <c r="N591" s="3" t="n">
        <f aca="false">(A591-$A$2)*86400</f>
        <v>618.950999295</v>
      </c>
      <c r="O591" s="3" t="n">
        <f aca="false">D591*0.3048</f>
        <v>5.15112</v>
      </c>
      <c r="P591" s="3" t="n">
        <f aca="false">E591*0.44704</f>
        <v>0</v>
      </c>
      <c r="Q591" s="3" t="n">
        <f aca="false">F591*0.44704</f>
        <v>0</v>
      </c>
    </row>
    <row r="592" customFormat="false" ht="15" hidden="false" customHeight="false" outlineLevel="0" collapsed="false">
      <c r="A592" s="8" t="n">
        <v>46315.8985397685</v>
      </c>
      <c r="B592" s="3" t="s">
        <v>611</v>
      </c>
      <c r="C592" s="0" t="n">
        <v>3</v>
      </c>
      <c r="D592" s="0" t="n">
        <v>16.5</v>
      </c>
      <c r="E592" s="0" t="n">
        <v>0</v>
      </c>
      <c r="F592" s="0" t="n">
        <v>0</v>
      </c>
      <c r="G592" s="0" t="n">
        <v>-1.1</v>
      </c>
      <c r="H592" s="0" t="n">
        <v>0</v>
      </c>
      <c r="I592" s="0" t="n">
        <v>0</v>
      </c>
      <c r="J592" s="0" t="n">
        <v>277</v>
      </c>
      <c r="K592" s="0" t="n">
        <v>-35.3630965</v>
      </c>
      <c r="L592" s="0" t="n">
        <v>149.1637991</v>
      </c>
      <c r="M592" s="0" t="n">
        <v>432.1</v>
      </c>
      <c r="N592" s="3" t="n">
        <f aca="false">(A592-$A$2)*86400</f>
        <v>619.933999772</v>
      </c>
      <c r="O592" s="3" t="n">
        <f aca="false">D592*0.3048</f>
        <v>5.0292</v>
      </c>
      <c r="P592" s="3" t="n">
        <f aca="false">E592*0.44704</f>
        <v>0</v>
      </c>
      <c r="Q592" s="3" t="n">
        <f aca="false">F592*0.44704</f>
        <v>0</v>
      </c>
    </row>
    <row r="593" customFormat="false" ht="15" hidden="false" customHeight="false" outlineLevel="0" collapsed="false">
      <c r="A593" s="8" t="n">
        <v>46315.898551412</v>
      </c>
      <c r="B593" s="3" t="s">
        <v>612</v>
      </c>
      <c r="C593" s="0" t="n">
        <v>3</v>
      </c>
      <c r="D593" s="0" t="n">
        <v>16.1</v>
      </c>
      <c r="E593" s="0" t="n">
        <v>0</v>
      </c>
      <c r="F593" s="0" t="n">
        <v>0</v>
      </c>
      <c r="G593" s="0" t="n">
        <v>-1.1</v>
      </c>
      <c r="H593" s="0" t="n">
        <v>0</v>
      </c>
      <c r="I593" s="0" t="n">
        <v>0</v>
      </c>
      <c r="J593" s="0" t="n">
        <v>277</v>
      </c>
      <c r="K593" s="0" t="n">
        <v>-35.3630965</v>
      </c>
      <c r="L593" s="0" t="n">
        <v>149.1637991</v>
      </c>
      <c r="M593" s="0" t="n">
        <v>432.1</v>
      </c>
      <c r="N593" s="3" t="n">
        <f aca="false">(A593-$A$2)*86400</f>
        <v>620.9400004</v>
      </c>
      <c r="O593" s="3" t="n">
        <f aca="false">D593*0.3048</f>
        <v>4.90728</v>
      </c>
      <c r="P593" s="3" t="n">
        <f aca="false">E593*0.44704</f>
        <v>0</v>
      </c>
      <c r="Q593" s="3" t="n">
        <f aca="false">F593*0.44704</f>
        <v>0</v>
      </c>
    </row>
    <row r="594" customFormat="false" ht="15" hidden="false" customHeight="false" outlineLevel="0" collapsed="false">
      <c r="A594" s="8" t="n">
        <v>46315.8985630903</v>
      </c>
      <c r="B594" s="3" t="s">
        <v>613</v>
      </c>
      <c r="C594" s="0" t="n">
        <v>3</v>
      </c>
      <c r="D594" s="0" t="n">
        <v>15.7</v>
      </c>
      <c r="E594" s="0" t="n">
        <v>0</v>
      </c>
      <c r="F594" s="0" t="n">
        <v>0</v>
      </c>
      <c r="G594" s="0" t="n">
        <v>-1.1</v>
      </c>
      <c r="H594" s="0" t="n">
        <v>0</v>
      </c>
      <c r="I594" s="0" t="n">
        <v>0</v>
      </c>
      <c r="J594" s="0" t="n">
        <v>277</v>
      </c>
      <c r="K594" s="0" t="n">
        <v>-35.3630965</v>
      </c>
      <c r="L594" s="0" t="n">
        <v>149.1637991</v>
      </c>
      <c r="M594" s="0" t="n">
        <v>432.1</v>
      </c>
      <c r="N594" s="3" t="n">
        <f aca="false">(A594-$A$2)*86400</f>
        <v>621.949000284</v>
      </c>
      <c r="O594" s="3" t="n">
        <f aca="false">D594*0.3048</f>
        <v>4.78536</v>
      </c>
      <c r="P594" s="3" t="n">
        <f aca="false">E594*0.44704</f>
        <v>0</v>
      </c>
      <c r="Q594" s="3" t="n">
        <f aca="false">F594*0.44704</f>
        <v>0</v>
      </c>
    </row>
    <row r="595" customFormat="false" ht="15" hidden="false" customHeight="false" outlineLevel="0" collapsed="false">
      <c r="A595" s="8" t="n">
        <v>46315.898574537</v>
      </c>
      <c r="B595" s="3" t="s">
        <v>614</v>
      </c>
      <c r="C595" s="0" t="n">
        <v>3</v>
      </c>
      <c r="D595" s="0" t="n">
        <v>15.3</v>
      </c>
      <c r="E595" s="0" t="n">
        <v>0</v>
      </c>
      <c r="F595" s="0" t="n">
        <v>0</v>
      </c>
      <c r="G595" s="0" t="n">
        <v>-1.1</v>
      </c>
      <c r="H595" s="0" t="n">
        <v>0</v>
      </c>
      <c r="I595" s="0" t="n">
        <v>0</v>
      </c>
      <c r="J595" s="0" t="n">
        <v>277</v>
      </c>
      <c r="K595" s="0" t="n">
        <v>-35.3630965</v>
      </c>
      <c r="L595" s="0" t="n">
        <v>149.1637991</v>
      </c>
      <c r="M595" s="0" t="n">
        <v>432.1</v>
      </c>
      <c r="N595" s="3" t="n">
        <f aca="false">(A595-$A$2)*86400</f>
        <v>622.937999898</v>
      </c>
      <c r="O595" s="3" t="n">
        <f aca="false">D595*0.3048</f>
        <v>4.66344</v>
      </c>
      <c r="P595" s="3" t="n">
        <f aca="false">E595*0.44704</f>
        <v>0</v>
      </c>
      <c r="Q595" s="3" t="n">
        <f aca="false">F595*0.44704</f>
        <v>0</v>
      </c>
    </row>
    <row r="596" customFormat="false" ht="15" hidden="false" customHeight="false" outlineLevel="0" collapsed="false">
      <c r="A596" s="8" t="n">
        <v>46315.8985861343</v>
      </c>
      <c r="B596" s="3" t="s">
        <v>615</v>
      </c>
      <c r="C596" s="0" t="n">
        <v>3</v>
      </c>
      <c r="D596" s="0" t="n">
        <v>14.9</v>
      </c>
      <c r="E596" s="0" t="n">
        <v>0</v>
      </c>
      <c r="F596" s="0" t="n">
        <v>0</v>
      </c>
      <c r="G596" s="0" t="n">
        <v>-1.1</v>
      </c>
      <c r="H596" s="0" t="n">
        <v>0</v>
      </c>
      <c r="I596" s="0" t="n">
        <v>0</v>
      </c>
      <c r="J596" s="0" t="n">
        <v>277</v>
      </c>
      <c r="K596" s="0" t="n">
        <v>-35.3630965</v>
      </c>
      <c r="L596" s="0" t="n">
        <v>149.1637991</v>
      </c>
      <c r="M596" s="0" t="n">
        <v>432.1</v>
      </c>
      <c r="N596" s="3" t="n">
        <f aca="false">(A596-$A$2)*86400</f>
        <v>623.939999844</v>
      </c>
      <c r="O596" s="3" t="n">
        <f aca="false">D596*0.3048</f>
        <v>4.54152</v>
      </c>
      <c r="P596" s="3" t="n">
        <f aca="false">E596*0.44704</f>
        <v>0</v>
      </c>
      <c r="Q596" s="3" t="n">
        <f aca="false">F596*0.44704</f>
        <v>0</v>
      </c>
    </row>
    <row r="597" customFormat="false" ht="15" hidden="false" customHeight="false" outlineLevel="0" collapsed="false">
      <c r="A597" s="8" t="n">
        <v>46315.8985978472</v>
      </c>
      <c r="B597" s="3" t="s">
        <v>616</v>
      </c>
      <c r="C597" s="0" t="n">
        <v>3</v>
      </c>
      <c r="D597" s="0" t="n">
        <v>14.5</v>
      </c>
      <c r="E597" s="0" t="n">
        <v>0</v>
      </c>
      <c r="F597" s="0" t="n">
        <v>0</v>
      </c>
      <c r="G597" s="0" t="n">
        <v>-1.1</v>
      </c>
      <c r="H597" s="0" t="n">
        <v>0</v>
      </c>
      <c r="I597" s="0" t="n">
        <v>0</v>
      </c>
      <c r="J597" s="0" t="n">
        <v>277</v>
      </c>
      <c r="K597" s="0" t="n">
        <v>-35.3630965</v>
      </c>
      <c r="L597" s="0" t="n">
        <v>149.1637991</v>
      </c>
      <c r="M597" s="0" t="n">
        <v>432.1</v>
      </c>
      <c r="N597" s="3" t="n">
        <f aca="false">(A597-$A$2)*86400</f>
        <v>624.951999611</v>
      </c>
      <c r="O597" s="3" t="n">
        <f aca="false">D597*0.3048</f>
        <v>4.4196</v>
      </c>
      <c r="P597" s="3" t="n">
        <f aca="false">E597*0.44704</f>
        <v>0</v>
      </c>
      <c r="Q597" s="3" t="n">
        <f aca="false">F597*0.44704</f>
        <v>0</v>
      </c>
    </row>
    <row r="598" customFormat="false" ht="15" hidden="false" customHeight="false" outlineLevel="0" collapsed="false">
      <c r="A598" s="8" t="n">
        <v>46315.8986093634</v>
      </c>
      <c r="B598" s="3" t="s">
        <v>617</v>
      </c>
      <c r="C598" s="0" t="n">
        <v>3</v>
      </c>
      <c r="D598" s="0" t="n">
        <v>14</v>
      </c>
      <c r="E598" s="0" t="n">
        <v>0</v>
      </c>
      <c r="F598" s="0" t="n">
        <v>0</v>
      </c>
      <c r="G598" s="0" t="n">
        <v>-1.1</v>
      </c>
      <c r="H598" s="0" t="n">
        <v>0</v>
      </c>
      <c r="I598" s="0" t="n">
        <v>0</v>
      </c>
      <c r="J598" s="0" t="n">
        <v>277</v>
      </c>
      <c r="K598" s="0" t="n">
        <v>-35.3630965</v>
      </c>
      <c r="L598" s="0" t="n">
        <v>149.1637991</v>
      </c>
      <c r="M598" s="0" t="n">
        <v>432.1</v>
      </c>
      <c r="N598" s="3" t="n">
        <f aca="false">(A598-$A$2)*86400</f>
        <v>625.94699962</v>
      </c>
      <c r="O598" s="3" t="n">
        <f aca="false">D598*0.3048</f>
        <v>4.2672</v>
      </c>
      <c r="P598" s="3" t="n">
        <f aca="false">E598*0.44704</f>
        <v>0</v>
      </c>
      <c r="Q598" s="3" t="n">
        <f aca="false">F598*0.44704</f>
        <v>0</v>
      </c>
    </row>
    <row r="599" customFormat="false" ht="15" hidden="false" customHeight="false" outlineLevel="0" collapsed="false">
      <c r="A599" s="8" t="n">
        <v>46315.8986209491</v>
      </c>
      <c r="B599" s="3" t="s">
        <v>618</v>
      </c>
      <c r="C599" s="0" t="n">
        <v>3</v>
      </c>
      <c r="D599" s="0" t="n">
        <v>13.6</v>
      </c>
      <c r="E599" s="0" t="n">
        <v>0</v>
      </c>
      <c r="F599" s="0" t="n">
        <v>0</v>
      </c>
      <c r="G599" s="0" t="n">
        <v>-1.1</v>
      </c>
      <c r="H599" s="0" t="n">
        <v>0</v>
      </c>
      <c r="I599" s="0" t="n">
        <v>0</v>
      </c>
      <c r="J599" s="0" t="n">
        <v>277</v>
      </c>
      <c r="K599" s="0" t="n">
        <v>-35.3630965</v>
      </c>
      <c r="L599" s="0" t="n">
        <v>149.1637991</v>
      </c>
      <c r="M599" s="0" t="n">
        <v>432.1</v>
      </c>
      <c r="N599" s="3" t="n">
        <f aca="false">(A599-$A$2)*86400</f>
        <v>626.948000653</v>
      </c>
      <c r="O599" s="3" t="n">
        <f aca="false">D599*0.3048</f>
        <v>4.14528</v>
      </c>
      <c r="P599" s="3" t="n">
        <f aca="false">E599*0.44704</f>
        <v>0</v>
      </c>
      <c r="Q599" s="3" t="n">
        <f aca="false">F599*0.44704</f>
        <v>0</v>
      </c>
    </row>
    <row r="600" customFormat="false" ht="15" hidden="false" customHeight="false" outlineLevel="0" collapsed="false">
      <c r="A600" s="8" t="n">
        <v>46315.8986326505</v>
      </c>
      <c r="B600" s="3" t="s">
        <v>619</v>
      </c>
      <c r="C600" s="0" t="n">
        <v>3</v>
      </c>
      <c r="D600" s="0" t="n">
        <v>12.8</v>
      </c>
      <c r="E600" s="0" t="n">
        <v>0</v>
      </c>
      <c r="F600" s="0" t="n">
        <v>0</v>
      </c>
      <c r="G600" s="0" t="n">
        <v>-1.1</v>
      </c>
      <c r="H600" s="0" t="n">
        <v>0</v>
      </c>
      <c r="I600" s="0" t="n">
        <v>0</v>
      </c>
      <c r="J600" s="0" t="n">
        <v>277</v>
      </c>
      <c r="K600" s="0" t="n">
        <v>-35.3630965</v>
      </c>
      <c r="L600" s="0" t="n">
        <v>149.1637991</v>
      </c>
      <c r="M600" s="0" t="n">
        <v>432.1</v>
      </c>
      <c r="N600" s="3" t="n">
        <f aca="false">(A600-$A$2)*86400</f>
        <v>627.95899962</v>
      </c>
      <c r="O600" s="3" t="n">
        <f aca="false">D600*0.3048</f>
        <v>3.90144</v>
      </c>
      <c r="P600" s="3" t="n">
        <f aca="false">E600*0.44704</f>
        <v>0</v>
      </c>
      <c r="Q600" s="3" t="n">
        <f aca="false">F600*0.44704</f>
        <v>0</v>
      </c>
    </row>
    <row r="601" customFormat="false" ht="15" hidden="false" customHeight="false" outlineLevel="0" collapsed="false">
      <c r="A601" s="8" t="n">
        <v>46315.8986441319</v>
      </c>
      <c r="B601" s="3" t="s">
        <v>620</v>
      </c>
      <c r="C601" s="0" t="n">
        <v>3</v>
      </c>
      <c r="D601" s="0" t="n">
        <v>12.8</v>
      </c>
      <c r="E601" s="0" t="n">
        <v>0</v>
      </c>
      <c r="F601" s="0" t="n">
        <v>0</v>
      </c>
      <c r="G601" s="0" t="n">
        <v>-1.1</v>
      </c>
      <c r="H601" s="0" t="n">
        <v>0</v>
      </c>
      <c r="I601" s="0" t="n">
        <v>0</v>
      </c>
      <c r="J601" s="0" t="n">
        <v>277</v>
      </c>
      <c r="K601" s="0" t="n">
        <v>-35.3630965</v>
      </c>
      <c r="L601" s="0" t="n">
        <v>149.1637991</v>
      </c>
      <c r="M601" s="0" t="n">
        <v>432.1</v>
      </c>
      <c r="N601" s="3" t="n">
        <f aca="false">(A601-$A$2)*86400</f>
        <v>628.950999747</v>
      </c>
      <c r="O601" s="3" t="n">
        <f aca="false">D601*0.3048</f>
        <v>3.90144</v>
      </c>
      <c r="P601" s="3" t="n">
        <f aca="false">E601*0.44704</f>
        <v>0</v>
      </c>
      <c r="Q601" s="3" t="n">
        <f aca="false">F601*0.44704</f>
        <v>0</v>
      </c>
    </row>
    <row r="602" customFormat="false" ht="15" hidden="false" customHeight="false" outlineLevel="0" collapsed="false">
      <c r="A602" s="8" t="n">
        <v>46315.8986558449</v>
      </c>
      <c r="B602" s="3" t="s">
        <v>621</v>
      </c>
      <c r="C602" s="0" t="n">
        <v>3</v>
      </c>
      <c r="D602" s="0" t="n">
        <v>12.4</v>
      </c>
      <c r="E602" s="0" t="n">
        <v>0</v>
      </c>
      <c r="F602" s="0" t="n">
        <v>0</v>
      </c>
      <c r="G602" s="0" t="n">
        <v>-1.1</v>
      </c>
      <c r="H602" s="0" t="n">
        <v>0</v>
      </c>
      <c r="I602" s="0" t="n">
        <v>0</v>
      </c>
      <c r="J602" s="0" t="n">
        <v>277</v>
      </c>
      <c r="K602" s="0" t="n">
        <v>-35.3630965</v>
      </c>
      <c r="L602" s="0" t="n">
        <v>149.1637991</v>
      </c>
      <c r="M602" s="0" t="n">
        <v>432.1</v>
      </c>
      <c r="N602" s="3" t="n">
        <f aca="false">(A602-$A$2)*86400</f>
        <v>629.963000142</v>
      </c>
      <c r="O602" s="3" t="n">
        <f aca="false">D602*0.3048</f>
        <v>3.77952</v>
      </c>
      <c r="P602" s="3" t="n">
        <f aca="false">E602*0.44704</f>
        <v>0</v>
      </c>
      <c r="Q602" s="3" t="n">
        <f aca="false">F602*0.44704</f>
        <v>0</v>
      </c>
    </row>
    <row r="603" customFormat="false" ht="15" hidden="false" customHeight="false" outlineLevel="0" collapsed="false">
      <c r="A603" s="8" t="n">
        <v>46315.8986671991</v>
      </c>
      <c r="B603" s="3" t="s">
        <v>622</v>
      </c>
      <c r="C603" s="0" t="n">
        <v>3</v>
      </c>
      <c r="D603" s="0" t="n">
        <v>12</v>
      </c>
      <c r="E603" s="0" t="n">
        <v>0</v>
      </c>
      <c r="F603" s="0" t="n">
        <v>0</v>
      </c>
      <c r="G603" s="0" t="n">
        <v>-1.1</v>
      </c>
      <c r="H603" s="0" t="n">
        <v>0</v>
      </c>
      <c r="I603" s="0" t="n">
        <v>0</v>
      </c>
      <c r="J603" s="0" t="n">
        <v>277</v>
      </c>
      <c r="K603" s="0" t="n">
        <v>-35.3630965</v>
      </c>
      <c r="L603" s="0" t="n">
        <v>149.1637991</v>
      </c>
      <c r="M603" s="0" t="n">
        <v>432.1</v>
      </c>
      <c r="N603" s="3" t="n">
        <f aca="false">(A603-$A$2)*86400</f>
        <v>630.943999649</v>
      </c>
      <c r="O603" s="3" t="n">
        <f aca="false">D603*0.3048</f>
        <v>3.6576</v>
      </c>
      <c r="P603" s="3" t="n">
        <f aca="false">E603*0.44704</f>
        <v>0</v>
      </c>
      <c r="Q603" s="3" t="n">
        <f aca="false">F603*0.44704</f>
        <v>0</v>
      </c>
    </row>
    <row r="604" customFormat="false" ht="15" hidden="false" customHeight="false" outlineLevel="0" collapsed="false">
      <c r="A604" s="8" t="n">
        <v>46315.8986789005</v>
      </c>
      <c r="B604" s="3" t="s">
        <v>623</v>
      </c>
      <c r="C604" s="0" t="n">
        <v>3</v>
      </c>
      <c r="D604" s="0" t="n">
        <v>11.6</v>
      </c>
      <c r="E604" s="0" t="n">
        <v>0</v>
      </c>
      <c r="F604" s="0" t="n">
        <v>0</v>
      </c>
      <c r="G604" s="0" t="n">
        <v>-1.1</v>
      </c>
      <c r="H604" s="0" t="n">
        <v>0</v>
      </c>
      <c r="I604" s="0" t="n">
        <v>0.1</v>
      </c>
      <c r="J604" s="0" t="n">
        <v>277</v>
      </c>
      <c r="K604" s="0" t="n">
        <v>-35.3630965</v>
      </c>
      <c r="L604" s="0" t="n">
        <v>149.1637991</v>
      </c>
      <c r="M604" s="0" t="n">
        <v>432.2</v>
      </c>
      <c r="N604" s="3" t="n">
        <f aca="false">(A604-$A$2)*86400</f>
        <v>631.954999873</v>
      </c>
      <c r="O604" s="3" t="n">
        <f aca="false">D604*0.3048</f>
        <v>3.53568</v>
      </c>
      <c r="P604" s="3" t="n">
        <f aca="false">E604*0.44704</f>
        <v>0</v>
      </c>
      <c r="Q604" s="3" t="n">
        <f aca="false">F604*0.44704</f>
        <v>0</v>
      </c>
    </row>
    <row r="605" customFormat="false" ht="15" hidden="false" customHeight="false" outlineLevel="0" collapsed="false">
      <c r="A605" s="8" t="n">
        <v>46315.898690382</v>
      </c>
      <c r="B605" s="3" t="s">
        <v>624</v>
      </c>
      <c r="C605" s="0" t="n">
        <v>3</v>
      </c>
      <c r="D605" s="0" t="n">
        <v>11.2</v>
      </c>
      <c r="E605" s="0" t="n">
        <v>0</v>
      </c>
      <c r="F605" s="0" t="n">
        <v>0</v>
      </c>
      <c r="G605" s="0" t="n">
        <v>-1.1</v>
      </c>
      <c r="H605" s="0" t="n">
        <v>0</v>
      </c>
      <c r="I605" s="0" t="n">
        <v>0.1</v>
      </c>
      <c r="J605" s="0" t="n">
        <v>277</v>
      </c>
      <c r="K605" s="0" t="n">
        <v>-35.3630965</v>
      </c>
      <c r="L605" s="0" t="n">
        <v>149.163799</v>
      </c>
      <c r="M605" s="0" t="n">
        <v>432.1</v>
      </c>
      <c r="N605" s="3" t="n">
        <f aca="false">(A605-$A$2)*86400</f>
        <v>632.947000628</v>
      </c>
      <c r="O605" s="3" t="n">
        <f aca="false">D605*0.3048</f>
        <v>3.41376</v>
      </c>
      <c r="P605" s="3" t="n">
        <f aca="false">E605*0.44704</f>
        <v>0</v>
      </c>
      <c r="Q605" s="3" t="n">
        <f aca="false">F605*0.44704</f>
        <v>0</v>
      </c>
    </row>
    <row r="606" customFormat="false" ht="15" hidden="false" customHeight="false" outlineLevel="0" collapsed="false">
      <c r="A606" s="8" t="n">
        <v>46315.8987020139</v>
      </c>
      <c r="B606" s="3" t="s">
        <v>625</v>
      </c>
      <c r="C606" s="0" t="n">
        <v>3</v>
      </c>
      <c r="D606" s="0" t="n">
        <v>10.8</v>
      </c>
      <c r="E606" s="0" t="n">
        <v>0</v>
      </c>
      <c r="F606" s="0" t="n">
        <v>0</v>
      </c>
      <c r="G606" s="0" t="n">
        <v>-1.1</v>
      </c>
      <c r="H606" s="0" t="n">
        <v>0</v>
      </c>
      <c r="I606" s="0" t="n">
        <v>-0.1</v>
      </c>
      <c r="J606" s="0" t="n">
        <v>277</v>
      </c>
      <c r="K606" s="0" t="n">
        <v>-35.3630965</v>
      </c>
      <c r="L606" s="0" t="n">
        <v>149.1637991</v>
      </c>
      <c r="M606" s="0" t="n">
        <v>432.1</v>
      </c>
      <c r="N606" s="3" t="n">
        <f aca="false">(A606-$A$2)*86400</f>
        <v>633.951999829</v>
      </c>
      <c r="O606" s="3" t="n">
        <f aca="false">D606*0.3048</f>
        <v>3.29184</v>
      </c>
      <c r="P606" s="3" t="n">
        <f aca="false">E606*0.44704</f>
        <v>0</v>
      </c>
      <c r="Q606" s="3" t="n">
        <f aca="false">F606*0.44704</f>
        <v>0</v>
      </c>
    </row>
    <row r="607" customFormat="false" ht="15" hidden="false" customHeight="false" outlineLevel="0" collapsed="false">
      <c r="A607" s="8" t="n">
        <v>46315.8987136111</v>
      </c>
      <c r="B607" s="3" t="s">
        <v>626</v>
      </c>
      <c r="C607" s="0" t="n">
        <v>3</v>
      </c>
      <c r="D607" s="0" t="n">
        <v>10.4</v>
      </c>
      <c r="E607" s="0" t="n">
        <v>0</v>
      </c>
      <c r="F607" s="0" t="n">
        <v>0</v>
      </c>
      <c r="G607" s="0" t="n">
        <v>-1.1</v>
      </c>
      <c r="H607" s="0" t="n">
        <v>0</v>
      </c>
      <c r="I607" s="0" t="n">
        <v>-0.1</v>
      </c>
      <c r="J607" s="0" t="n">
        <v>277</v>
      </c>
      <c r="K607" s="0" t="n">
        <v>-35.3630965</v>
      </c>
      <c r="L607" s="0" t="n">
        <v>149.1637991</v>
      </c>
      <c r="M607" s="0" t="n">
        <v>432.1</v>
      </c>
      <c r="N607" s="3" t="n">
        <f aca="false">(A607-$A$2)*86400</f>
        <v>634.953999775</v>
      </c>
      <c r="O607" s="3" t="n">
        <f aca="false">D607*0.3048</f>
        <v>3.16992</v>
      </c>
      <c r="P607" s="3" t="n">
        <f aca="false">E607*0.44704</f>
        <v>0</v>
      </c>
      <c r="Q607" s="3" t="n">
        <f aca="false">F607*0.44704</f>
        <v>0</v>
      </c>
    </row>
    <row r="608" customFormat="false" ht="15" hidden="false" customHeight="false" outlineLevel="0" collapsed="false">
      <c r="A608" s="8" t="n">
        <v>46315.8987253704</v>
      </c>
      <c r="B608" s="3" t="s">
        <v>627</v>
      </c>
      <c r="C608" s="0" t="n">
        <v>3</v>
      </c>
      <c r="D608" s="0" t="n">
        <v>9.9</v>
      </c>
      <c r="E608" s="0" t="n">
        <v>0</v>
      </c>
      <c r="F608" s="0" t="n">
        <v>0</v>
      </c>
      <c r="G608" s="0" t="n">
        <v>-1.1</v>
      </c>
      <c r="H608" s="0" t="n">
        <v>0</v>
      </c>
      <c r="I608" s="0" t="n">
        <v>0</v>
      </c>
      <c r="J608" s="0" t="n">
        <v>277</v>
      </c>
      <c r="K608" s="0" t="n">
        <v>-35.3630965</v>
      </c>
      <c r="L608" s="0" t="n">
        <v>149.1637991</v>
      </c>
      <c r="M608" s="0" t="n">
        <v>432.1</v>
      </c>
      <c r="N608" s="3" t="n">
        <f aca="false">(A608-$A$2)*86400</f>
        <v>635.969999595</v>
      </c>
      <c r="O608" s="3" t="n">
        <f aca="false">D608*0.3048</f>
        <v>3.01752</v>
      </c>
      <c r="P608" s="3" t="n">
        <f aca="false">E608*0.44704</f>
        <v>0</v>
      </c>
      <c r="Q608" s="3" t="n">
        <f aca="false">F608*0.44704</f>
        <v>0</v>
      </c>
    </row>
    <row r="609" customFormat="false" ht="15" hidden="false" customHeight="false" outlineLevel="0" collapsed="false">
      <c r="A609" s="8" t="n">
        <v>46315.8987370023</v>
      </c>
      <c r="B609" s="3" t="s">
        <v>628</v>
      </c>
      <c r="C609" s="0" t="n">
        <v>3</v>
      </c>
      <c r="D609" s="0" t="n">
        <v>9.5</v>
      </c>
      <c r="E609" s="0" t="n">
        <v>0</v>
      </c>
      <c r="F609" s="0" t="n">
        <v>0</v>
      </c>
      <c r="G609" s="0" t="n">
        <v>-1.1</v>
      </c>
      <c r="H609" s="0" t="n">
        <v>0</v>
      </c>
      <c r="I609" s="0" t="n">
        <v>0</v>
      </c>
      <c r="J609" s="0" t="n">
        <v>277</v>
      </c>
      <c r="K609" s="0" t="n">
        <v>-35.3630965</v>
      </c>
      <c r="L609" s="0" t="n">
        <v>149.1637991</v>
      </c>
      <c r="M609" s="0" t="n">
        <v>432.1</v>
      </c>
      <c r="N609" s="3" t="n">
        <f aca="false">(A609-$A$2)*86400</f>
        <v>636.975000053</v>
      </c>
      <c r="O609" s="3" t="n">
        <f aca="false">D609*0.3048</f>
        <v>2.8956</v>
      </c>
      <c r="P609" s="3" t="n">
        <f aca="false">E609*0.44704</f>
        <v>0</v>
      </c>
      <c r="Q609" s="3" t="n">
        <f aca="false">F609*0.44704</f>
        <v>0</v>
      </c>
    </row>
    <row r="610" customFormat="false" ht="15" hidden="false" customHeight="false" outlineLevel="0" collapsed="false">
      <c r="A610" s="8" t="n">
        <v>46315.8987484607</v>
      </c>
      <c r="B610" s="3" t="s">
        <v>629</v>
      </c>
      <c r="C610" s="0" t="n">
        <v>3</v>
      </c>
      <c r="D610" s="0" t="n">
        <v>9.2</v>
      </c>
      <c r="E610" s="0" t="n">
        <v>0</v>
      </c>
      <c r="F610" s="0" t="n">
        <v>0</v>
      </c>
      <c r="G610" s="0" t="n">
        <v>-1.1</v>
      </c>
      <c r="H610" s="0" t="n">
        <v>0</v>
      </c>
      <c r="I610" s="0" t="n">
        <v>0</v>
      </c>
      <c r="J610" s="0" t="n">
        <v>277</v>
      </c>
      <c r="K610" s="0" t="n">
        <v>-35.3630965</v>
      </c>
      <c r="L610" s="0" t="n">
        <v>149.1637991</v>
      </c>
      <c r="M610" s="0" t="n">
        <v>432.1</v>
      </c>
      <c r="N610" s="3" t="n">
        <f aca="false">(A610-$A$2)*86400</f>
        <v>637.964999838</v>
      </c>
      <c r="O610" s="3" t="n">
        <f aca="false">D610*0.3048</f>
        <v>2.80416</v>
      </c>
      <c r="P610" s="3" t="n">
        <f aca="false">E610*0.44704</f>
        <v>0</v>
      </c>
      <c r="Q610" s="3" t="n">
        <f aca="false">F610*0.44704</f>
        <v>0</v>
      </c>
    </row>
    <row r="611" customFormat="false" ht="15" hidden="false" customHeight="false" outlineLevel="0" collapsed="false">
      <c r="A611" s="8" t="n">
        <v>46315.8987598611</v>
      </c>
      <c r="B611" s="3" t="s">
        <v>629</v>
      </c>
      <c r="C611" s="0" t="n">
        <v>3</v>
      </c>
      <c r="D611" s="0" t="n">
        <v>8.7</v>
      </c>
      <c r="E611" s="0" t="n">
        <v>0</v>
      </c>
      <c r="F611" s="0" t="n">
        <v>0</v>
      </c>
      <c r="G611" s="0" t="n">
        <v>-1.1</v>
      </c>
      <c r="H611" s="0" t="n">
        <v>0</v>
      </c>
      <c r="I611" s="0" t="n">
        <v>0</v>
      </c>
      <c r="J611" s="0" t="n">
        <v>277</v>
      </c>
      <c r="K611" s="0" t="n">
        <v>-35.3630965</v>
      </c>
      <c r="L611" s="0" t="n">
        <v>149.1637991</v>
      </c>
      <c r="M611" s="0" t="n">
        <v>432.1</v>
      </c>
      <c r="N611" s="3" t="n">
        <f aca="false">(A611-$A$2)*86400</f>
        <v>638.950000028</v>
      </c>
      <c r="O611" s="3" t="n">
        <f aca="false">D611*0.3048</f>
        <v>2.65176</v>
      </c>
      <c r="P611" s="3" t="n">
        <f aca="false">E611*0.44704</f>
        <v>0</v>
      </c>
      <c r="Q611" s="3" t="n">
        <f aca="false">F611*0.44704</f>
        <v>0</v>
      </c>
    </row>
    <row r="612" customFormat="false" ht="15" hidden="false" customHeight="false" outlineLevel="0" collapsed="false">
      <c r="A612" s="8" t="n">
        <v>46315.898771956</v>
      </c>
      <c r="B612" s="3" t="s">
        <v>630</v>
      </c>
      <c r="C612" s="0" t="n">
        <v>3</v>
      </c>
      <c r="D612" s="0" t="n">
        <v>8.3</v>
      </c>
      <c r="E612" s="0" t="n">
        <v>0</v>
      </c>
      <c r="F612" s="0" t="n">
        <v>0</v>
      </c>
      <c r="G612" s="0" t="n">
        <v>-1.1</v>
      </c>
      <c r="H612" s="0" t="n">
        <v>0</v>
      </c>
      <c r="I612" s="0" t="n">
        <v>0</v>
      </c>
      <c r="J612" s="0" t="n">
        <v>277</v>
      </c>
      <c r="K612" s="0" t="n">
        <v>-35.3630965</v>
      </c>
      <c r="L612" s="0" t="n">
        <v>149.1637991</v>
      </c>
      <c r="M612" s="0" t="n">
        <v>432.1</v>
      </c>
      <c r="N612" s="3" t="n">
        <f aca="false">(A612-$A$2)*86400</f>
        <v>639.994999766</v>
      </c>
      <c r="O612" s="3" t="n">
        <f aca="false">D612*0.3048</f>
        <v>2.52984</v>
      </c>
      <c r="P612" s="3" t="n">
        <f aca="false">E612*0.44704</f>
        <v>0</v>
      </c>
      <c r="Q612" s="3" t="n">
        <f aca="false">F612*0.44704</f>
        <v>0</v>
      </c>
    </row>
    <row r="613" customFormat="false" ht="15" hidden="false" customHeight="false" outlineLevel="0" collapsed="false">
      <c r="A613" s="8" t="n">
        <v>46315.8987830787</v>
      </c>
      <c r="B613" s="3" t="s">
        <v>630</v>
      </c>
      <c r="C613" s="0" t="n">
        <v>3</v>
      </c>
      <c r="D613" s="0" t="n">
        <v>7.9</v>
      </c>
      <c r="E613" s="0" t="n">
        <v>0</v>
      </c>
      <c r="F613" s="0" t="n">
        <v>0</v>
      </c>
      <c r="G613" s="0" t="n">
        <v>-1.1</v>
      </c>
      <c r="H613" s="0" t="n">
        <v>0</v>
      </c>
      <c r="I613" s="0" t="n">
        <v>0</v>
      </c>
      <c r="J613" s="0" t="n">
        <v>277</v>
      </c>
      <c r="K613" s="0" t="n">
        <v>-35.3630965</v>
      </c>
      <c r="L613" s="0" t="n">
        <v>149.1637991</v>
      </c>
      <c r="M613" s="0" t="n">
        <v>432.1</v>
      </c>
      <c r="N613" s="3" t="n">
        <f aca="false">(A613-$A$2)*86400</f>
        <v>640.955999633</v>
      </c>
      <c r="O613" s="3" t="n">
        <f aca="false">D613*0.3048</f>
        <v>2.40792</v>
      </c>
      <c r="P613" s="3" t="n">
        <f aca="false">E613*0.44704</f>
        <v>0</v>
      </c>
      <c r="Q613" s="3" t="n">
        <f aca="false">F613*0.44704</f>
        <v>0</v>
      </c>
    </row>
    <row r="614" customFormat="false" ht="15" hidden="false" customHeight="false" outlineLevel="0" collapsed="false">
      <c r="A614" s="8" t="n">
        <v>46315.8987946991</v>
      </c>
      <c r="B614" s="3" t="s">
        <v>631</v>
      </c>
      <c r="C614" s="0" t="n">
        <v>3</v>
      </c>
      <c r="D614" s="0" t="n">
        <v>7.5</v>
      </c>
      <c r="E614" s="0" t="n">
        <v>0</v>
      </c>
      <c r="F614" s="0" t="n">
        <v>0</v>
      </c>
      <c r="G614" s="0" t="n">
        <v>-1.1</v>
      </c>
      <c r="H614" s="0" t="n">
        <v>0</v>
      </c>
      <c r="I614" s="0" t="n">
        <v>0</v>
      </c>
      <c r="J614" s="0" t="n">
        <v>277</v>
      </c>
      <c r="K614" s="0" t="n">
        <v>-35.3630965</v>
      </c>
      <c r="L614" s="0" t="n">
        <v>149.1637991</v>
      </c>
      <c r="M614" s="0" t="n">
        <v>432.1</v>
      </c>
      <c r="N614" s="3" t="n">
        <f aca="false">(A614-$A$2)*86400</f>
        <v>641.959999292</v>
      </c>
      <c r="O614" s="3" t="n">
        <f aca="false">D614*0.3048</f>
        <v>2.286</v>
      </c>
      <c r="P614" s="3" t="n">
        <f aca="false">E614*0.44704</f>
        <v>0</v>
      </c>
      <c r="Q614" s="3" t="n">
        <f aca="false">F614*0.44704</f>
        <v>0</v>
      </c>
    </row>
    <row r="615" customFormat="false" ht="15" hidden="false" customHeight="false" outlineLevel="0" collapsed="false">
      <c r="A615" s="8" t="n">
        <v>46315.8988060532</v>
      </c>
      <c r="B615" s="3" t="s">
        <v>632</v>
      </c>
      <c r="C615" s="0" t="n">
        <v>3</v>
      </c>
      <c r="D615" s="0" t="n">
        <v>7.1</v>
      </c>
      <c r="E615" s="0" t="n">
        <v>0</v>
      </c>
      <c r="F615" s="0" t="n">
        <v>0</v>
      </c>
      <c r="G615" s="0" t="n">
        <v>-1.1</v>
      </c>
      <c r="H615" s="0" t="n">
        <v>0</v>
      </c>
      <c r="I615" s="0" t="n">
        <v>0</v>
      </c>
      <c r="J615" s="0" t="n">
        <v>277</v>
      </c>
      <c r="K615" s="0" t="n">
        <v>-35.3630965</v>
      </c>
      <c r="L615" s="0" t="n">
        <v>149.1637991</v>
      </c>
      <c r="M615" s="0" t="n">
        <v>432.1</v>
      </c>
      <c r="N615" s="3" t="n">
        <f aca="false">(A615-$A$2)*86400</f>
        <v>642.941000056</v>
      </c>
      <c r="O615" s="3" t="n">
        <f aca="false">D615*0.3048</f>
        <v>2.16408</v>
      </c>
      <c r="P615" s="3" t="n">
        <f aca="false">E615*0.44704</f>
        <v>0</v>
      </c>
      <c r="Q615" s="3" t="n">
        <f aca="false">F615*0.44704</f>
        <v>0</v>
      </c>
    </row>
    <row r="616" customFormat="false" ht="15" hidden="false" customHeight="false" outlineLevel="0" collapsed="false">
      <c r="A616" s="8" t="n">
        <v>46315.8988178356</v>
      </c>
      <c r="B616" s="3" t="s">
        <v>633</v>
      </c>
      <c r="C616" s="0" t="n">
        <v>3</v>
      </c>
      <c r="D616" s="0" t="n">
        <v>7.1</v>
      </c>
      <c r="E616" s="0" t="n">
        <v>0</v>
      </c>
      <c r="F616" s="0" t="n">
        <v>0</v>
      </c>
      <c r="G616" s="0" t="n">
        <v>-1.1</v>
      </c>
      <c r="H616" s="0" t="n">
        <v>0</v>
      </c>
      <c r="I616" s="0" t="n">
        <v>0</v>
      </c>
      <c r="J616" s="0" t="n">
        <v>277</v>
      </c>
      <c r="K616" s="0" t="n">
        <v>-35.3630965</v>
      </c>
      <c r="L616" s="0" t="n">
        <v>149.1637991</v>
      </c>
      <c r="M616" s="0" t="n">
        <v>432.1</v>
      </c>
      <c r="N616" s="3" t="n">
        <f aca="false">(A616-$A$2)*86400</f>
        <v>643.95899896</v>
      </c>
      <c r="O616" s="3" t="n">
        <f aca="false">D616*0.3048</f>
        <v>2.16408</v>
      </c>
      <c r="P616" s="3" t="n">
        <f aca="false">E616*0.44704</f>
        <v>0</v>
      </c>
      <c r="Q616" s="3" t="n">
        <f aca="false">F616*0.44704</f>
        <v>0</v>
      </c>
    </row>
    <row r="617" customFormat="false" ht="15" hidden="false" customHeight="false" outlineLevel="0" collapsed="false">
      <c r="A617" s="8" t="n">
        <v>46315.8988293171</v>
      </c>
      <c r="B617" s="3" t="s">
        <v>634</v>
      </c>
      <c r="C617" s="0" t="n">
        <v>3</v>
      </c>
      <c r="D617" s="0" t="n">
        <v>6.7</v>
      </c>
      <c r="E617" s="0" t="n">
        <v>0</v>
      </c>
      <c r="F617" s="0" t="n">
        <v>0</v>
      </c>
      <c r="G617" s="0" t="n">
        <v>-1.1</v>
      </c>
      <c r="H617" s="0" t="n">
        <v>0</v>
      </c>
      <c r="I617" s="0" t="n">
        <v>0</v>
      </c>
      <c r="J617" s="0" t="n">
        <v>277</v>
      </c>
      <c r="K617" s="0" t="n">
        <v>-35.3630965</v>
      </c>
      <c r="L617" s="0" t="n">
        <v>149.1637991</v>
      </c>
      <c r="M617" s="0" t="n">
        <v>432.1</v>
      </c>
      <c r="N617" s="3" t="n">
        <f aca="false">(A617-$A$2)*86400</f>
        <v>644.950999715</v>
      </c>
      <c r="O617" s="3" t="n">
        <f aca="false">D617*0.3048</f>
        <v>2.04216</v>
      </c>
      <c r="P617" s="3" t="n">
        <f aca="false">E617*0.44704</f>
        <v>0</v>
      </c>
      <c r="Q617" s="3" t="n">
        <f aca="false">F617*0.44704</f>
        <v>0</v>
      </c>
    </row>
    <row r="618" customFormat="false" ht="15" hidden="false" customHeight="false" outlineLevel="0" collapsed="false">
      <c r="A618" s="8" t="n">
        <v>46315.8988408218</v>
      </c>
      <c r="B618" s="3" t="s">
        <v>635</v>
      </c>
      <c r="C618" s="0" t="n">
        <v>3</v>
      </c>
      <c r="D618" s="0" t="n">
        <v>6.3</v>
      </c>
      <c r="E618" s="0" t="n">
        <v>0</v>
      </c>
      <c r="F618" s="0" t="n">
        <v>0</v>
      </c>
      <c r="G618" s="0" t="n">
        <v>-1.1</v>
      </c>
      <c r="H618" s="0" t="n">
        <v>0</v>
      </c>
      <c r="I618" s="0" t="n">
        <v>0</v>
      </c>
      <c r="J618" s="0" t="n">
        <v>277</v>
      </c>
      <c r="K618" s="0" t="n">
        <v>-35.3630965</v>
      </c>
      <c r="L618" s="0" t="n">
        <v>149.1637991</v>
      </c>
      <c r="M618" s="0" t="n">
        <v>432.1</v>
      </c>
      <c r="N618" s="3" t="n">
        <f aca="false">(A618-$A$2)*86400</f>
        <v>645.945000182</v>
      </c>
      <c r="O618" s="3" t="n">
        <f aca="false">D618*0.3048</f>
        <v>1.92024</v>
      </c>
      <c r="P618" s="3" t="n">
        <f aca="false">E618*0.44704</f>
        <v>0</v>
      </c>
      <c r="Q618" s="3" t="n">
        <f aca="false">F618*0.44704</f>
        <v>0</v>
      </c>
    </row>
    <row r="619" customFormat="false" ht="15" hidden="false" customHeight="false" outlineLevel="0" collapsed="false">
      <c r="A619" s="8" t="n">
        <v>46315.8988525694</v>
      </c>
      <c r="B619" s="3" t="s">
        <v>636</v>
      </c>
      <c r="C619" s="0" t="n">
        <v>3</v>
      </c>
      <c r="D619" s="0" t="n">
        <v>5.8</v>
      </c>
      <c r="E619" s="0" t="n">
        <v>0</v>
      </c>
      <c r="F619" s="0" t="n">
        <v>0</v>
      </c>
      <c r="G619" s="0" t="n">
        <v>-1.1</v>
      </c>
      <c r="H619" s="0" t="n">
        <v>0</v>
      </c>
      <c r="I619" s="0" t="n">
        <v>0</v>
      </c>
      <c r="J619" s="0" t="n">
        <v>277</v>
      </c>
      <c r="K619" s="0" t="n">
        <v>-35.3630965</v>
      </c>
      <c r="L619" s="0" t="n">
        <v>149.1637991</v>
      </c>
      <c r="M619" s="0" t="n">
        <v>432.1</v>
      </c>
      <c r="N619" s="3" t="n">
        <f aca="false">(A619-$A$2)*86400</f>
        <v>646.959999203</v>
      </c>
      <c r="O619" s="3" t="n">
        <f aca="false">D619*0.3048</f>
        <v>1.76784</v>
      </c>
      <c r="P619" s="3" t="n">
        <f aca="false">E619*0.44704</f>
        <v>0</v>
      </c>
      <c r="Q619" s="3" t="n">
        <f aca="false">F619*0.44704</f>
        <v>0</v>
      </c>
    </row>
    <row r="620" customFormat="false" ht="15" hidden="false" customHeight="false" outlineLevel="0" collapsed="false">
      <c r="A620" s="8" t="n">
        <v>46315.8988639352</v>
      </c>
      <c r="B620" s="3" t="s">
        <v>637</v>
      </c>
      <c r="C620" s="0" t="n">
        <v>3</v>
      </c>
      <c r="D620" s="0" t="n">
        <v>5.4</v>
      </c>
      <c r="E620" s="0" t="n">
        <v>0</v>
      </c>
      <c r="F620" s="0" t="n">
        <v>0</v>
      </c>
      <c r="G620" s="0" t="n">
        <v>-1.1</v>
      </c>
      <c r="H620" s="0" t="n">
        <v>0</v>
      </c>
      <c r="I620" s="0" t="n">
        <v>0</v>
      </c>
      <c r="J620" s="0" t="n">
        <v>277</v>
      </c>
      <c r="K620" s="0" t="n">
        <v>-35.3630965</v>
      </c>
      <c r="L620" s="0" t="n">
        <v>149.1637991</v>
      </c>
      <c r="M620" s="0" t="n">
        <v>432.1</v>
      </c>
      <c r="N620" s="3" t="n">
        <f aca="false">(A620-$A$2)*86400</f>
        <v>647.942000138</v>
      </c>
      <c r="O620" s="3" t="n">
        <f aca="false">D620*0.3048</f>
        <v>1.64592</v>
      </c>
      <c r="P620" s="3" t="n">
        <f aca="false">E620*0.44704</f>
        <v>0</v>
      </c>
      <c r="Q620" s="3" t="n">
        <f aca="false">F620*0.44704</f>
        <v>0</v>
      </c>
    </row>
    <row r="621" customFormat="false" ht="15" hidden="false" customHeight="false" outlineLevel="0" collapsed="false">
      <c r="A621" s="8" t="n">
        <v>46315.898875463</v>
      </c>
      <c r="B621" s="3" t="s">
        <v>638</v>
      </c>
      <c r="C621" s="0" t="n">
        <v>3</v>
      </c>
      <c r="D621" s="0" t="n">
        <v>5</v>
      </c>
      <c r="E621" s="0" t="n">
        <v>0</v>
      </c>
      <c r="F621" s="0" t="n">
        <v>0</v>
      </c>
      <c r="G621" s="0" t="n">
        <v>-1.1</v>
      </c>
      <c r="H621" s="0" t="n">
        <v>0</v>
      </c>
      <c r="I621" s="0" t="n">
        <v>0</v>
      </c>
      <c r="J621" s="0" t="n">
        <v>277</v>
      </c>
      <c r="K621" s="0" t="n">
        <v>-35.3630965</v>
      </c>
      <c r="L621" s="0" t="n">
        <v>149.1637991</v>
      </c>
      <c r="M621" s="0" t="n">
        <v>432.1</v>
      </c>
      <c r="N621" s="3" t="n">
        <f aca="false">(A621-$A$2)*86400</f>
        <v>648.937999689</v>
      </c>
      <c r="O621" s="3" t="n">
        <f aca="false">D621*0.3048</f>
        <v>1.524</v>
      </c>
      <c r="P621" s="3" t="n">
        <f aca="false">E621*0.44704</f>
        <v>0</v>
      </c>
      <c r="Q621" s="3" t="n">
        <f aca="false">F621*0.44704</f>
        <v>0</v>
      </c>
    </row>
    <row r="622" customFormat="false" ht="15" hidden="false" customHeight="false" outlineLevel="0" collapsed="false">
      <c r="A622" s="8" t="n">
        <v>46315.8988871759</v>
      </c>
      <c r="B622" s="3" t="s">
        <v>639</v>
      </c>
      <c r="C622" s="0" t="n">
        <v>3</v>
      </c>
      <c r="D622" s="0" t="n">
        <v>4.6</v>
      </c>
      <c r="E622" s="0" t="n">
        <v>0</v>
      </c>
      <c r="F622" s="0" t="n">
        <v>0</v>
      </c>
      <c r="G622" s="0" t="n">
        <v>-1.1</v>
      </c>
      <c r="H622" s="0" t="n">
        <v>0</v>
      </c>
      <c r="I622" s="0" t="n">
        <v>0</v>
      </c>
      <c r="J622" s="0" t="n">
        <v>277</v>
      </c>
      <c r="K622" s="0" t="n">
        <v>-35.3630965</v>
      </c>
      <c r="L622" s="0" t="n">
        <v>149.1637991</v>
      </c>
      <c r="M622" s="0" t="n">
        <v>432.1</v>
      </c>
      <c r="N622" s="3" t="n">
        <f aca="false">(A622-$A$2)*86400</f>
        <v>649.950000084</v>
      </c>
      <c r="O622" s="3" t="n">
        <f aca="false">D622*0.3048</f>
        <v>1.40208</v>
      </c>
      <c r="P622" s="3" t="n">
        <f aca="false">E622*0.44704</f>
        <v>0</v>
      </c>
      <c r="Q622" s="3" t="n">
        <f aca="false">F622*0.44704</f>
        <v>0</v>
      </c>
    </row>
    <row r="623" customFormat="false" ht="15" hidden="false" customHeight="false" outlineLevel="0" collapsed="false">
      <c r="A623" s="8" t="n">
        <v>46315.8988987732</v>
      </c>
      <c r="B623" s="3" t="s">
        <v>640</v>
      </c>
      <c r="C623" s="0" t="n">
        <v>3</v>
      </c>
      <c r="D623" s="0" t="n">
        <v>4.2</v>
      </c>
      <c r="E623" s="0" t="n">
        <v>0</v>
      </c>
      <c r="F623" s="0" t="n">
        <v>0</v>
      </c>
      <c r="G623" s="0" t="n">
        <v>-1.1</v>
      </c>
      <c r="H623" s="0" t="n">
        <v>0</v>
      </c>
      <c r="I623" s="0" t="n">
        <v>0</v>
      </c>
      <c r="J623" s="0" t="n">
        <v>277</v>
      </c>
      <c r="K623" s="0" t="n">
        <v>-35.3630965</v>
      </c>
      <c r="L623" s="0" t="n">
        <v>149.1637991</v>
      </c>
      <c r="M623" s="0" t="n">
        <v>432.1</v>
      </c>
      <c r="N623" s="3" t="n">
        <f aca="false">(A623-$A$2)*86400</f>
        <v>650.952000031</v>
      </c>
      <c r="O623" s="3" t="n">
        <f aca="false">D623*0.3048</f>
        <v>1.28016</v>
      </c>
      <c r="P623" s="3" t="n">
        <f aca="false">E623*0.44704</f>
        <v>0</v>
      </c>
      <c r="Q623" s="3" t="n">
        <f aca="false">F623*0.44704</f>
        <v>0</v>
      </c>
    </row>
    <row r="624" customFormat="false" ht="15" hidden="false" customHeight="false" outlineLevel="0" collapsed="false">
      <c r="A624" s="8" t="n">
        <v>46315.8989103704</v>
      </c>
      <c r="B624" s="3" t="s">
        <v>641</v>
      </c>
      <c r="C624" s="0" t="n">
        <v>3</v>
      </c>
      <c r="D624" s="0" t="n">
        <v>3.8</v>
      </c>
      <c r="E624" s="0" t="n">
        <v>0</v>
      </c>
      <c r="F624" s="0" t="n">
        <v>0</v>
      </c>
      <c r="G624" s="0" t="n">
        <v>-1.1</v>
      </c>
      <c r="H624" s="0" t="n">
        <v>0</v>
      </c>
      <c r="I624" s="0" t="n">
        <v>0</v>
      </c>
      <c r="J624" s="0" t="n">
        <v>277</v>
      </c>
      <c r="K624" s="0" t="n">
        <v>-35.3630965</v>
      </c>
      <c r="L624" s="0" t="n">
        <v>149.1637991</v>
      </c>
      <c r="M624" s="0" t="n">
        <v>432.1</v>
      </c>
      <c r="N624" s="3" t="n">
        <f aca="false">(A624-$A$2)*86400</f>
        <v>651.953999977</v>
      </c>
      <c r="O624" s="3" t="n">
        <f aca="false">D624*0.3048</f>
        <v>1.15824</v>
      </c>
      <c r="P624" s="3" t="n">
        <f aca="false">E624*0.44704</f>
        <v>0</v>
      </c>
      <c r="Q624" s="3" t="n">
        <f aca="false">F624*0.44704</f>
        <v>0</v>
      </c>
    </row>
    <row r="625" customFormat="false" ht="15" hidden="false" customHeight="false" outlineLevel="0" collapsed="false">
      <c r="A625" s="8" t="n">
        <v>46315.8989221528</v>
      </c>
      <c r="B625" s="3" t="s">
        <v>642</v>
      </c>
      <c r="C625" s="0" t="n">
        <v>3</v>
      </c>
      <c r="D625" s="0" t="n">
        <v>3.4</v>
      </c>
      <c r="E625" s="0" t="n">
        <v>0</v>
      </c>
      <c r="F625" s="0" t="n">
        <v>0</v>
      </c>
      <c r="G625" s="0" t="n">
        <v>-1.1</v>
      </c>
      <c r="H625" s="0" t="n">
        <v>0</v>
      </c>
      <c r="I625" s="0" t="n">
        <v>0</v>
      </c>
      <c r="J625" s="0" t="n">
        <v>277</v>
      </c>
      <c r="K625" s="0" t="n">
        <v>-35.3630965</v>
      </c>
      <c r="L625" s="0" t="n">
        <v>149.1637991</v>
      </c>
      <c r="M625" s="0" t="n">
        <v>432.1</v>
      </c>
      <c r="N625" s="3" t="n">
        <f aca="false">(A625-$A$2)*86400</f>
        <v>652.972000138</v>
      </c>
      <c r="O625" s="3" t="n">
        <f aca="false">D625*0.3048</f>
        <v>1.03632</v>
      </c>
      <c r="P625" s="3" t="n">
        <f aca="false">E625*0.44704</f>
        <v>0</v>
      </c>
      <c r="Q625" s="3" t="n">
        <f aca="false">F625*0.44704</f>
        <v>0</v>
      </c>
    </row>
    <row r="626" customFormat="false" ht="15" hidden="false" customHeight="false" outlineLevel="0" collapsed="false">
      <c r="A626" s="8" t="n">
        <v>46315.8989337384</v>
      </c>
      <c r="B626" s="3" t="s">
        <v>643</v>
      </c>
      <c r="C626" s="0" t="n">
        <v>3</v>
      </c>
      <c r="D626" s="0" t="n">
        <v>3</v>
      </c>
      <c r="E626" s="0" t="n">
        <v>0</v>
      </c>
      <c r="F626" s="0" t="n">
        <v>0</v>
      </c>
      <c r="G626" s="0" t="n">
        <v>-1.1</v>
      </c>
      <c r="H626" s="0" t="n">
        <v>0</v>
      </c>
      <c r="I626" s="0" t="n">
        <v>0</v>
      </c>
      <c r="J626" s="0" t="n">
        <v>277</v>
      </c>
      <c r="K626" s="0" t="n">
        <v>-35.3630965</v>
      </c>
      <c r="L626" s="0" t="n">
        <v>149.1637991</v>
      </c>
      <c r="M626" s="0" t="n">
        <v>432.1</v>
      </c>
      <c r="N626" s="3" t="n">
        <f aca="false">(A626-$A$2)*86400</f>
        <v>653.972999914</v>
      </c>
      <c r="O626" s="3" t="n">
        <f aca="false">D626*0.3048</f>
        <v>0.9144</v>
      </c>
      <c r="P626" s="3" t="n">
        <f aca="false">E626*0.44704</f>
        <v>0</v>
      </c>
      <c r="Q626" s="3" t="n">
        <f aca="false">F626*0.44704</f>
        <v>0</v>
      </c>
    </row>
    <row r="627" customFormat="false" ht="15" hidden="false" customHeight="false" outlineLevel="0" collapsed="false">
      <c r="A627" s="8" t="n">
        <v>46315.8989450116</v>
      </c>
      <c r="B627" s="3" t="s">
        <v>644</v>
      </c>
      <c r="C627" s="0" t="n">
        <v>3</v>
      </c>
      <c r="D627" s="0" t="n">
        <v>2.6</v>
      </c>
      <c r="E627" s="0" t="n">
        <v>0</v>
      </c>
      <c r="F627" s="0" t="n">
        <v>0</v>
      </c>
      <c r="G627" s="0" t="n">
        <v>-1.1</v>
      </c>
      <c r="H627" s="0" t="n">
        <v>0</v>
      </c>
      <c r="I627" s="0" t="n">
        <v>0</v>
      </c>
      <c r="J627" s="0" t="n">
        <v>277</v>
      </c>
      <c r="K627" s="0" t="n">
        <v>-35.3630965</v>
      </c>
      <c r="L627" s="0" t="n">
        <v>149.1637991</v>
      </c>
      <c r="M627" s="0" t="n">
        <v>432.1</v>
      </c>
      <c r="N627" s="3" t="n">
        <f aca="false">(A627-$A$2)*86400</f>
        <v>654.947000113</v>
      </c>
      <c r="O627" s="3" t="n">
        <f aca="false">D627*0.3048</f>
        <v>0.79248</v>
      </c>
      <c r="P627" s="3" t="n">
        <f aca="false">E627*0.44704</f>
        <v>0</v>
      </c>
      <c r="Q627" s="3" t="n">
        <f aca="false">F627*0.44704</f>
        <v>0</v>
      </c>
    </row>
    <row r="628" customFormat="false" ht="15" hidden="false" customHeight="false" outlineLevel="0" collapsed="false">
      <c r="A628" s="8" t="n">
        <v>46315.8989566551</v>
      </c>
      <c r="B628" s="3" t="s">
        <v>645</v>
      </c>
      <c r="C628" s="0" t="n">
        <v>3</v>
      </c>
      <c r="D628" s="0" t="n">
        <v>2.2</v>
      </c>
      <c r="E628" s="0" t="n">
        <v>0</v>
      </c>
      <c r="F628" s="0" t="n">
        <v>0</v>
      </c>
      <c r="G628" s="0" t="n">
        <v>-1.1</v>
      </c>
      <c r="H628" s="0" t="n">
        <v>0</v>
      </c>
      <c r="I628" s="0" t="n">
        <v>0</v>
      </c>
      <c r="J628" s="0" t="n">
        <v>277</v>
      </c>
      <c r="K628" s="0" t="n">
        <v>-35.3630965</v>
      </c>
      <c r="L628" s="0" t="n">
        <v>149.1637991</v>
      </c>
      <c r="M628" s="0" t="n">
        <v>432.1</v>
      </c>
      <c r="N628" s="3" t="n">
        <f aca="false">(A628-$A$2)*86400</f>
        <v>655.953000742</v>
      </c>
      <c r="O628" s="3" t="n">
        <f aca="false">D628*0.3048</f>
        <v>0.67056</v>
      </c>
      <c r="P628" s="3" t="n">
        <f aca="false">E628*0.44704</f>
        <v>0</v>
      </c>
      <c r="Q628" s="3" t="n">
        <f aca="false">F628*0.44704</f>
        <v>0</v>
      </c>
    </row>
    <row r="629" customFormat="false" ht="15" hidden="false" customHeight="false" outlineLevel="0" collapsed="false">
      <c r="A629" s="8" t="n">
        <v>46315.8989681944</v>
      </c>
      <c r="B629" s="3" t="s">
        <v>646</v>
      </c>
      <c r="C629" s="0" t="n">
        <v>3</v>
      </c>
      <c r="D629" s="0" t="n">
        <v>1.8</v>
      </c>
      <c r="E629" s="0" t="n">
        <v>0</v>
      </c>
      <c r="F629" s="0" t="n">
        <v>0</v>
      </c>
      <c r="G629" s="0" t="n">
        <v>-1.1</v>
      </c>
      <c r="H629" s="0" t="n">
        <v>0</v>
      </c>
      <c r="I629" s="0" t="n">
        <v>0</v>
      </c>
      <c r="J629" s="0" t="n">
        <v>277</v>
      </c>
      <c r="K629" s="0" t="n">
        <v>-35.3630965</v>
      </c>
      <c r="L629" s="0" t="n">
        <v>149.1637991</v>
      </c>
      <c r="M629" s="0" t="n">
        <v>432.1</v>
      </c>
      <c r="N629" s="3" t="n">
        <f aca="false">(A629-$A$2)*86400</f>
        <v>656.949999206</v>
      </c>
      <c r="O629" s="3" t="n">
        <f aca="false">D629*0.3048</f>
        <v>0.54864</v>
      </c>
      <c r="P629" s="3" t="n">
        <f aca="false">E629*0.44704</f>
        <v>0</v>
      </c>
      <c r="Q629" s="3" t="n">
        <f aca="false">F629*0.44704</f>
        <v>0</v>
      </c>
    </row>
    <row r="630" customFormat="false" ht="15" hidden="false" customHeight="false" outlineLevel="0" collapsed="false">
      <c r="A630" s="8" t="n">
        <v>46315.8989796528</v>
      </c>
      <c r="B630" s="3" t="s">
        <v>647</v>
      </c>
      <c r="C630" s="0" t="n">
        <v>3</v>
      </c>
      <c r="D630" s="0" t="n">
        <v>1.8</v>
      </c>
      <c r="E630" s="0" t="n">
        <v>0</v>
      </c>
      <c r="F630" s="0" t="n">
        <v>0</v>
      </c>
      <c r="G630" s="0" t="n">
        <v>-1.1</v>
      </c>
      <c r="H630" s="0" t="n">
        <v>0</v>
      </c>
      <c r="I630" s="0" t="n">
        <v>0</v>
      </c>
      <c r="J630" s="0" t="n">
        <v>277</v>
      </c>
      <c r="K630" s="0" t="n">
        <v>-35.3630965</v>
      </c>
      <c r="L630" s="0" t="n">
        <v>149.1637991</v>
      </c>
      <c r="M630" s="0" t="n">
        <v>432.1</v>
      </c>
      <c r="N630" s="3" t="n">
        <f aca="false">(A630-$A$2)*86400</f>
        <v>657.939998991</v>
      </c>
      <c r="O630" s="3" t="n">
        <f aca="false">D630*0.3048</f>
        <v>0.54864</v>
      </c>
      <c r="P630" s="3" t="n">
        <f aca="false">E630*0.44704</f>
        <v>0</v>
      </c>
      <c r="Q630" s="3" t="n">
        <f aca="false">F630*0.44704</f>
        <v>0</v>
      </c>
    </row>
    <row r="631" customFormat="false" ht="15" hidden="false" customHeight="false" outlineLevel="0" collapsed="false">
      <c r="A631" s="8" t="n">
        <v>46315.898991412</v>
      </c>
      <c r="B631" s="3" t="s">
        <v>648</v>
      </c>
      <c r="C631" s="0" t="n">
        <v>3</v>
      </c>
      <c r="D631" s="0" t="n">
        <v>1.3</v>
      </c>
      <c r="E631" s="0" t="n">
        <v>0</v>
      </c>
      <c r="F631" s="0" t="n">
        <v>0</v>
      </c>
      <c r="G631" s="0" t="n">
        <v>-1.1</v>
      </c>
      <c r="H631" s="0" t="n">
        <v>0</v>
      </c>
      <c r="I631" s="0" t="n">
        <v>0</v>
      </c>
      <c r="J631" s="0" t="n">
        <v>277</v>
      </c>
      <c r="K631" s="0" t="n">
        <v>-35.3630965</v>
      </c>
      <c r="L631" s="0" t="n">
        <v>149.1637991</v>
      </c>
      <c r="M631" s="0" t="n">
        <v>432.1</v>
      </c>
      <c r="N631" s="3" t="n">
        <f aca="false">(A631-$A$2)*86400</f>
        <v>658.956000069</v>
      </c>
      <c r="O631" s="3" t="n">
        <f aca="false">D631*0.3048</f>
        <v>0.39624</v>
      </c>
      <c r="P631" s="3" t="n">
        <f aca="false">E631*0.44704</f>
        <v>0</v>
      </c>
      <c r="Q631" s="3" t="n">
        <f aca="false">F631*0.44704</f>
        <v>0</v>
      </c>
    </row>
    <row r="632" customFormat="false" ht="15" hidden="false" customHeight="false" outlineLevel="0" collapsed="false">
      <c r="A632" s="8" t="n">
        <v>46315.8990030671</v>
      </c>
      <c r="B632" s="3" t="s">
        <v>649</v>
      </c>
      <c r="C632" s="0" t="n">
        <v>3</v>
      </c>
      <c r="D632" s="0" t="n">
        <v>0.9</v>
      </c>
      <c r="E632" s="0" t="n">
        <v>0</v>
      </c>
      <c r="F632" s="0" t="n">
        <v>0</v>
      </c>
      <c r="G632" s="0" t="n">
        <v>-1.1</v>
      </c>
      <c r="H632" s="0" t="n">
        <v>0</v>
      </c>
      <c r="I632" s="0" t="n">
        <v>0</v>
      </c>
      <c r="J632" s="0" t="n">
        <v>277</v>
      </c>
      <c r="K632" s="0" t="n">
        <v>-35.3630965</v>
      </c>
      <c r="L632" s="0" t="n">
        <v>149.1637991</v>
      </c>
      <c r="M632" s="0" t="n">
        <v>432.1</v>
      </c>
      <c r="N632" s="3" t="n">
        <f aca="false">(A632-$A$2)*86400</f>
        <v>659.962999611</v>
      </c>
      <c r="O632" s="3" t="n">
        <f aca="false">D632*0.3048</f>
        <v>0.27432</v>
      </c>
      <c r="P632" s="3" t="n">
        <f aca="false">E632*0.44704</f>
        <v>0</v>
      </c>
      <c r="Q632" s="3" t="n">
        <f aca="false">F632*0.44704</f>
        <v>0</v>
      </c>
    </row>
    <row r="633" customFormat="false" ht="15" hidden="false" customHeight="false" outlineLevel="0" collapsed="false">
      <c r="A633" s="8" t="n">
        <v>46315.8990144097</v>
      </c>
      <c r="B633" s="3" t="s">
        <v>650</v>
      </c>
      <c r="C633" s="0" t="n">
        <v>3</v>
      </c>
      <c r="D633" s="0" t="n">
        <v>0.5</v>
      </c>
      <c r="E633" s="0" t="n">
        <v>0</v>
      </c>
      <c r="F633" s="0" t="n">
        <v>0</v>
      </c>
      <c r="G633" s="0" t="n">
        <v>-1.1</v>
      </c>
      <c r="H633" s="0" t="n">
        <v>0</v>
      </c>
      <c r="I633" s="0" t="n">
        <v>0</v>
      </c>
      <c r="J633" s="0" t="n">
        <v>277</v>
      </c>
      <c r="K633" s="0" t="n">
        <v>-35.3630965</v>
      </c>
      <c r="L633" s="0" t="n">
        <v>149.1637991</v>
      </c>
      <c r="M633" s="0" t="n">
        <v>432.1</v>
      </c>
      <c r="N633" s="3" t="n">
        <f aca="false">(A633-$A$2)*86400</f>
        <v>660.942999576</v>
      </c>
      <c r="O633" s="3" t="n">
        <f aca="false">D633*0.3048</f>
        <v>0.1524</v>
      </c>
      <c r="P633" s="3" t="n">
        <f aca="false">E633*0.44704</f>
        <v>0</v>
      </c>
      <c r="Q633" s="3" t="n">
        <f aca="false">F633*0.44704</f>
        <v>0</v>
      </c>
    </row>
    <row r="634" customFormat="false" ht="15" hidden="false" customHeight="false" outlineLevel="0" collapsed="false">
      <c r="A634" s="8" t="n">
        <v>46315.8990267361</v>
      </c>
      <c r="B634" s="3" t="s">
        <v>651</v>
      </c>
      <c r="C634" s="0" t="n">
        <v>3</v>
      </c>
      <c r="D634" s="0" t="n">
        <v>0.1</v>
      </c>
      <c r="E634" s="0" t="n">
        <v>0</v>
      </c>
      <c r="F634" s="0" t="n">
        <v>0</v>
      </c>
      <c r="G634" s="0" t="n">
        <v>-1.1</v>
      </c>
      <c r="H634" s="0" t="n">
        <v>0</v>
      </c>
      <c r="I634" s="0" t="n">
        <v>0</v>
      </c>
      <c r="J634" s="0" t="n">
        <v>277</v>
      </c>
      <c r="K634" s="0" t="n">
        <v>-35.3630965</v>
      </c>
      <c r="L634" s="0" t="n">
        <v>149.1637991</v>
      </c>
      <c r="M634" s="0" t="n">
        <v>432.1</v>
      </c>
      <c r="N634" s="3" t="n">
        <f aca="false">(A634-$A$2)*86400</f>
        <v>662.007999583</v>
      </c>
      <c r="O634" s="3" t="n">
        <f aca="false">D634*0.3048</f>
        <v>0.03048</v>
      </c>
      <c r="P634" s="3" t="n">
        <f aca="false">E634*0.44704</f>
        <v>0</v>
      </c>
      <c r="Q634" s="3" t="n">
        <f aca="false">F634*0.44704</f>
        <v>0</v>
      </c>
    </row>
    <row r="635" customFormat="false" ht="15" hidden="false" customHeight="false" outlineLevel="0" collapsed="false">
      <c r="A635" s="8" t="n">
        <v>46315.8990381482</v>
      </c>
      <c r="B635" s="3" t="s">
        <v>652</v>
      </c>
      <c r="C635" s="0" t="n">
        <v>3</v>
      </c>
      <c r="D635" s="0" t="n">
        <v>0.1</v>
      </c>
      <c r="E635" s="0" t="n">
        <v>0</v>
      </c>
      <c r="F635" s="0" t="n">
        <v>0</v>
      </c>
      <c r="G635" s="0" t="n">
        <v>-1.1</v>
      </c>
      <c r="H635" s="0" t="n">
        <v>0</v>
      </c>
      <c r="I635" s="0" t="n">
        <v>0</v>
      </c>
      <c r="J635" s="0" t="n">
        <v>277</v>
      </c>
      <c r="K635" s="0" t="n">
        <v>-35.3630965</v>
      </c>
      <c r="L635" s="0" t="n">
        <v>149.1637991</v>
      </c>
      <c r="M635" s="0" t="n">
        <v>432.1</v>
      </c>
      <c r="N635" s="3" t="n">
        <f aca="false">(A635-$A$2)*86400</f>
        <v>662.993999943</v>
      </c>
      <c r="O635" s="3" t="n">
        <f aca="false">D635*0.3048</f>
        <v>0.03048</v>
      </c>
      <c r="P635" s="3" t="n">
        <f aca="false">E635*0.44704</f>
        <v>0</v>
      </c>
      <c r="Q635" s="3" t="n">
        <f aca="false">F635*0.44704</f>
        <v>0</v>
      </c>
    </row>
    <row r="636" customFormat="false" ht="15" hidden="false" customHeight="false" outlineLevel="0" collapsed="false">
      <c r="A636" s="8" t="n">
        <v>46315.8990502546</v>
      </c>
      <c r="B636" s="3" t="s">
        <v>653</v>
      </c>
      <c r="C636" s="0" t="n">
        <v>3</v>
      </c>
      <c r="D636" s="0" t="n">
        <v>0</v>
      </c>
      <c r="E636" s="0" t="n">
        <v>0</v>
      </c>
      <c r="F636" s="0" t="n">
        <v>0</v>
      </c>
      <c r="G636" s="0" t="n">
        <v>0</v>
      </c>
      <c r="H636" s="0" t="n">
        <v>0</v>
      </c>
      <c r="I636" s="0" t="n">
        <v>0</v>
      </c>
      <c r="J636" s="0" t="n">
        <v>277</v>
      </c>
      <c r="K636" s="0" t="n">
        <v>-35.3630965</v>
      </c>
      <c r="L636" s="0" t="n">
        <v>149.1637991</v>
      </c>
      <c r="M636" s="0" t="n">
        <v>432.1</v>
      </c>
      <c r="N636" s="3" t="n">
        <f aca="false">(A636-$A$2)*86400</f>
        <v>664.039999851</v>
      </c>
      <c r="O636" s="3" t="n">
        <f aca="false">D636*0.3048</f>
        <v>0</v>
      </c>
      <c r="P636" s="3" t="n">
        <f aca="false">E636*0.44704</f>
        <v>0</v>
      </c>
      <c r="Q636" s="3" t="n">
        <f aca="false">F636*0.44704</f>
        <v>0</v>
      </c>
    </row>
    <row r="637" customFormat="false" ht="15" hidden="false" customHeight="false" outlineLevel="0" collapsed="false">
      <c r="A637" s="8" t="n">
        <v>46315.8990609722</v>
      </c>
      <c r="B637" s="3" t="s">
        <v>653</v>
      </c>
      <c r="C637" s="0" t="n">
        <v>3</v>
      </c>
      <c r="D637" s="0" t="n">
        <v>0</v>
      </c>
      <c r="E637" s="0" t="n">
        <v>0</v>
      </c>
      <c r="F637" s="0" t="n">
        <v>0</v>
      </c>
      <c r="G637" s="0" t="n">
        <v>0</v>
      </c>
      <c r="H637" s="0" t="n">
        <v>0</v>
      </c>
      <c r="I637" s="0" t="n">
        <v>0</v>
      </c>
      <c r="J637" s="0" t="n">
        <v>277</v>
      </c>
      <c r="K637" s="0" t="n">
        <v>-35.3630965</v>
      </c>
      <c r="L637" s="0" t="n">
        <v>149.1637991</v>
      </c>
      <c r="M637" s="0" t="n">
        <v>432.1</v>
      </c>
      <c r="N637" s="3" t="n">
        <f aca="false">(A637-$A$2)*86400</f>
        <v>664.965999405</v>
      </c>
      <c r="O637" s="3" t="n">
        <f aca="false">D637*0.3048</f>
        <v>0</v>
      </c>
      <c r="P637" s="3" t="n">
        <f aca="false">E637*0.44704</f>
        <v>0</v>
      </c>
      <c r="Q637" s="3" t="n">
        <f aca="false">F637*0.44704</f>
        <v>0</v>
      </c>
    </row>
    <row r="638" customFormat="false" ht="15" hidden="false" customHeight="false" outlineLevel="0" collapsed="false">
      <c r="A638" s="8" t="n">
        <v>46315.8990725347</v>
      </c>
      <c r="B638" s="3" t="s">
        <v>654</v>
      </c>
      <c r="C638" s="0" t="n">
        <v>3</v>
      </c>
      <c r="D638" s="0" t="n">
        <v>0</v>
      </c>
      <c r="E638" s="0" t="n">
        <v>0</v>
      </c>
      <c r="F638" s="0" t="n">
        <v>0</v>
      </c>
      <c r="G638" s="0" t="n">
        <v>0</v>
      </c>
      <c r="H638" s="0" t="n">
        <v>0</v>
      </c>
      <c r="I638" s="0" t="n">
        <v>0</v>
      </c>
      <c r="J638" s="0" t="n">
        <v>277</v>
      </c>
      <c r="K638" s="0" t="n">
        <v>-35.3630965</v>
      </c>
      <c r="L638" s="0" t="n">
        <v>149.1637991</v>
      </c>
      <c r="M638" s="0" t="n">
        <v>432.1</v>
      </c>
      <c r="N638" s="3" t="n">
        <f aca="false">(A638-$A$2)*86400</f>
        <v>665.964999468</v>
      </c>
      <c r="O638" s="3" t="n">
        <f aca="false">D638*0.3048</f>
        <v>0</v>
      </c>
      <c r="P638" s="3" t="n">
        <f aca="false">E638*0.44704</f>
        <v>0</v>
      </c>
      <c r="Q638" s="3" t="n">
        <f aca="false">F638*0.44704</f>
        <v>0</v>
      </c>
    </row>
    <row r="639" customFormat="false" ht="15" hidden="false" customHeight="false" outlineLevel="0" collapsed="false">
      <c r="A639" s="8" t="n">
        <v>46315.8990839236</v>
      </c>
      <c r="B639" s="3" t="s">
        <v>655</v>
      </c>
      <c r="C639" s="0" t="n">
        <v>3</v>
      </c>
      <c r="D639" s="0" t="n">
        <v>0</v>
      </c>
      <c r="E639" s="0" t="n">
        <v>0</v>
      </c>
      <c r="F639" s="0" t="n">
        <v>0</v>
      </c>
      <c r="G639" s="0" t="n">
        <v>0</v>
      </c>
      <c r="H639" s="0" t="n">
        <v>0</v>
      </c>
      <c r="I639" s="0" t="n">
        <v>0</v>
      </c>
      <c r="J639" s="0" t="n">
        <v>277</v>
      </c>
      <c r="K639" s="0" t="n">
        <v>-35.3630965</v>
      </c>
      <c r="L639" s="0" t="n">
        <v>149.1637991</v>
      </c>
      <c r="M639" s="0" t="n">
        <v>432.1</v>
      </c>
      <c r="N639" s="3" t="n">
        <f aca="false">(A639-$A$2)*86400</f>
        <v>666.948999487</v>
      </c>
      <c r="O639" s="3" t="n">
        <f aca="false">D639*0.3048</f>
        <v>0</v>
      </c>
      <c r="P639" s="3" t="n">
        <f aca="false">E639*0.44704</f>
        <v>0</v>
      </c>
      <c r="Q639" s="3" t="n">
        <f aca="false">F639*0.44704</f>
        <v>0</v>
      </c>
    </row>
    <row r="640" customFormat="false" ht="15" hidden="false" customHeight="false" outlineLevel="0" collapsed="false">
      <c r="A640" s="8" t="n">
        <v>46315.8990954514</v>
      </c>
      <c r="B640" s="3" t="s">
        <v>656</v>
      </c>
      <c r="C640" s="0" t="n">
        <v>3</v>
      </c>
      <c r="D640" s="0" t="n">
        <v>0</v>
      </c>
      <c r="E640" s="0" t="n">
        <v>0</v>
      </c>
      <c r="F640" s="0" t="n">
        <v>0</v>
      </c>
      <c r="G640" s="0" t="n">
        <v>0</v>
      </c>
      <c r="H640" s="0" t="n">
        <v>0</v>
      </c>
      <c r="I640" s="0" t="n">
        <v>0</v>
      </c>
      <c r="J640" s="0" t="n">
        <v>277</v>
      </c>
      <c r="K640" s="0" t="n">
        <v>-35.3630965</v>
      </c>
      <c r="L640" s="0" t="n">
        <v>149.1637991</v>
      </c>
      <c r="M640" s="0" t="n">
        <v>432.1</v>
      </c>
      <c r="N640" s="3" t="n">
        <f aca="false">(A640-$A$2)*86400</f>
        <v>667.944999667</v>
      </c>
      <c r="O640" s="3" t="n">
        <f aca="false">D640*0.3048</f>
        <v>0</v>
      </c>
      <c r="P640" s="3" t="n">
        <f aca="false">E640*0.44704</f>
        <v>0</v>
      </c>
      <c r="Q640" s="3" t="n">
        <f aca="false">F640*0.44704</f>
        <v>0</v>
      </c>
    </row>
    <row r="641" customFormat="false" ht="15" hidden="false" customHeight="false" outlineLevel="0" collapsed="false">
      <c r="A641" s="8" t="n">
        <v>46315.8991070718</v>
      </c>
      <c r="B641" s="3" t="s">
        <v>657</v>
      </c>
      <c r="C641" s="0" t="n">
        <v>3</v>
      </c>
      <c r="D641" s="0" t="n">
        <v>0</v>
      </c>
      <c r="E641" s="0" t="n">
        <v>0</v>
      </c>
      <c r="F641" s="0" t="n">
        <v>0</v>
      </c>
      <c r="G641" s="0" t="n">
        <v>0</v>
      </c>
      <c r="H641" s="0" t="n">
        <v>0</v>
      </c>
      <c r="I641" s="0" t="n">
        <v>0</v>
      </c>
      <c r="J641" s="0" t="n">
        <v>277</v>
      </c>
      <c r="K641" s="0" t="n">
        <v>-35.3630965</v>
      </c>
      <c r="L641" s="0" t="n">
        <v>149.1637991</v>
      </c>
      <c r="M641" s="0" t="n">
        <v>432.1</v>
      </c>
      <c r="N641" s="3" t="n">
        <f aca="false">(A641-$A$2)*86400</f>
        <v>668.948999955</v>
      </c>
      <c r="O641" s="3" t="n">
        <f aca="false">D641*0.3048</f>
        <v>0</v>
      </c>
      <c r="P641" s="3" t="n">
        <f aca="false">E641*0.44704</f>
        <v>0</v>
      </c>
      <c r="Q641" s="3" t="n">
        <f aca="false">F641*0.44704</f>
        <v>0</v>
      </c>
    </row>
    <row r="642" customFormat="false" ht="15" hidden="false" customHeight="false" outlineLevel="0" collapsed="false">
      <c r="A642" s="8" t="n">
        <v>46315.8991190741</v>
      </c>
      <c r="B642" s="3" t="s">
        <v>658</v>
      </c>
      <c r="C642" s="0" t="n">
        <v>3</v>
      </c>
      <c r="D642" s="0" t="n">
        <v>0</v>
      </c>
      <c r="E642" s="0" t="n">
        <v>0</v>
      </c>
      <c r="F642" s="0" t="n">
        <v>0</v>
      </c>
      <c r="G642" s="0" t="n">
        <v>0</v>
      </c>
      <c r="H642" s="0" t="n">
        <v>0</v>
      </c>
      <c r="I642" s="0" t="n">
        <v>0</v>
      </c>
      <c r="J642" s="0" t="n">
        <v>277</v>
      </c>
      <c r="K642" s="0" t="n">
        <v>-35.3630965</v>
      </c>
      <c r="L642" s="0" t="n">
        <v>149.1637991</v>
      </c>
      <c r="M642" s="0" t="n">
        <v>432.1</v>
      </c>
      <c r="N642" s="3" t="n">
        <f aca="false">(A642-$A$2)*86400</f>
        <v>669.985999586</v>
      </c>
      <c r="O642" s="3" t="n">
        <f aca="false">D642*0.3048</f>
        <v>0</v>
      </c>
      <c r="P642" s="3" t="n">
        <f aca="false">E642*0.44704</f>
        <v>0</v>
      </c>
      <c r="Q642" s="3" t="n">
        <f aca="false">F642*0.44704</f>
        <v>0</v>
      </c>
    </row>
    <row r="643" customFormat="false" ht="15" hidden="false" customHeight="false" outlineLevel="0" collapsed="false">
      <c r="A643" s="8" t="n">
        <v>46315.8991301389</v>
      </c>
      <c r="B643" s="3" t="s">
        <v>659</v>
      </c>
      <c r="C643" s="0" t="n">
        <v>3</v>
      </c>
      <c r="D643" s="0" t="n">
        <v>0</v>
      </c>
      <c r="E643" s="0" t="n">
        <v>0</v>
      </c>
      <c r="F643" s="0" t="n">
        <v>0</v>
      </c>
      <c r="G643" s="0" t="n">
        <v>0</v>
      </c>
      <c r="H643" s="0" t="n">
        <v>0</v>
      </c>
      <c r="I643" s="0" t="n">
        <v>0</v>
      </c>
      <c r="J643" s="0" t="n">
        <v>277</v>
      </c>
      <c r="K643" s="0" t="n">
        <v>-35.3630965</v>
      </c>
      <c r="L643" s="0" t="n">
        <v>149.1637991</v>
      </c>
      <c r="M643" s="0" t="n">
        <v>432.1</v>
      </c>
      <c r="N643" s="3" t="n">
        <f aca="false">(A643-$A$2)*86400</f>
        <v>670.941999857</v>
      </c>
      <c r="O643" s="3" t="n">
        <f aca="false">D643*0.3048</f>
        <v>0</v>
      </c>
      <c r="P643" s="3" t="n">
        <f aca="false">E643*0.44704</f>
        <v>0</v>
      </c>
      <c r="Q643" s="3" t="n">
        <f aca="false">F643*0.44704</f>
        <v>0</v>
      </c>
    </row>
    <row r="644" customFormat="false" ht="15" hidden="false" customHeight="false" outlineLevel="0" collapsed="false">
      <c r="A644" s="8" t="n">
        <v>46315.8991418866</v>
      </c>
      <c r="B644" s="3" t="s">
        <v>660</v>
      </c>
      <c r="C644" s="0" t="n">
        <v>3</v>
      </c>
      <c r="D644" s="0" t="n">
        <v>0</v>
      </c>
      <c r="E644" s="0" t="n">
        <v>0</v>
      </c>
      <c r="F644" s="0" t="n">
        <v>0</v>
      </c>
      <c r="G644" s="0" t="n">
        <v>0</v>
      </c>
      <c r="H644" s="0" t="n">
        <v>0</v>
      </c>
      <c r="I644" s="0" t="n">
        <v>0</v>
      </c>
      <c r="J644" s="0" t="n">
        <v>277</v>
      </c>
      <c r="K644" s="0" t="n">
        <v>-35.3630965</v>
      </c>
      <c r="L644" s="0" t="n">
        <v>149.1637991</v>
      </c>
      <c r="M644" s="0" t="n">
        <v>432.1</v>
      </c>
      <c r="N644" s="3" t="n">
        <f aca="false">(A644-$A$2)*86400</f>
        <v>671.957000135</v>
      </c>
      <c r="O644" s="3" t="n">
        <f aca="false">D644*0.3048</f>
        <v>0</v>
      </c>
      <c r="P644" s="3" t="n">
        <f aca="false">E644*0.44704</f>
        <v>0</v>
      </c>
      <c r="Q644" s="3" t="n">
        <f aca="false">F644*0.44704</f>
        <v>0</v>
      </c>
    </row>
    <row r="645" customFormat="false" ht="15" hidden="false" customHeight="false" outlineLevel="0" collapsed="false">
      <c r="A645" s="8" t="n">
        <v>46315.8991531944</v>
      </c>
      <c r="B645" s="3" t="s">
        <v>661</v>
      </c>
      <c r="C645" s="0" t="n">
        <v>3</v>
      </c>
      <c r="D645" s="0" t="n">
        <v>0</v>
      </c>
      <c r="E645" s="0" t="n">
        <v>0</v>
      </c>
      <c r="F645" s="0" t="n">
        <v>0</v>
      </c>
      <c r="G645" s="0" t="n">
        <v>0</v>
      </c>
      <c r="H645" s="0" t="n">
        <v>0</v>
      </c>
      <c r="I645" s="0" t="n">
        <v>0</v>
      </c>
      <c r="J645" s="0" t="n">
        <v>277</v>
      </c>
      <c r="K645" s="0" t="n">
        <v>-35.3630965</v>
      </c>
      <c r="L645" s="0" t="n">
        <v>149.1637991</v>
      </c>
      <c r="M645" s="0" t="n">
        <v>432.1</v>
      </c>
      <c r="N645" s="3" t="n">
        <f aca="false">(A645-$A$2)*86400</f>
        <v>672.933999588</v>
      </c>
      <c r="O645" s="3" t="n">
        <f aca="false">D645*0.3048</f>
        <v>0</v>
      </c>
      <c r="P645" s="3" t="n">
        <f aca="false">E645*0.44704</f>
        <v>0</v>
      </c>
      <c r="Q645" s="3" t="n">
        <f aca="false">F645*0.44704</f>
        <v>0</v>
      </c>
    </row>
    <row r="646" customFormat="false" ht="15" hidden="false" customHeight="false" outlineLevel="0" collapsed="false">
      <c r="A646" s="8" t="n">
        <v>46315.8991650463</v>
      </c>
      <c r="B646" s="3" t="s">
        <v>662</v>
      </c>
      <c r="C646" s="0" t="n">
        <v>3</v>
      </c>
      <c r="D646" s="0" t="n">
        <v>0</v>
      </c>
      <c r="E646" s="0" t="n">
        <v>0</v>
      </c>
      <c r="F646" s="0" t="n">
        <v>0</v>
      </c>
      <c r="G646" s="0" t="n">
        <v>0</v>
      </c>
      <c r="H646" s="0" t="n">
        <v>0</v>
      </c>
      <c r="I646" s="0" t="n">
        <v>0</v>
      </c>
      <c r="J646" s="0" t="n">
        <v>277</v>
      </c>
      <c r="K646" s="0" t="n">
        <v>-35.3630965</v>
      </c>
      <c r="L646" s="0" t="n">
        <v>149.1637991</v>
      </c>
      <c r="M646" s="0" t="n">
        <v>432.1</v>
      </c>
      <c r="N646" s="3" t="n">
        <f aca="false">(A646-$A$2)*86400</f>
        <v>673.958000144</v>
      </c>
      <c r="O646" s="3" t="n">
        <f aca="false">D646*0.3048</f>
        <v>0</v>
      </c>
      <c r="P646" s="3" t="n">
        <f aca="false">E646*0.44704</f>
        <v>0</v>
      </c>
      <c r="Q646" s="3" t="n">
        <f aca="false">F646*0.44704</f>
        <v>0</v>
      </c>
    </row>
    <row r="647" customFormat="false" ht="15" hidden="false" customHeight="false" outlineLevel="0" collapsed="false">
      <c r="A647" s="8" t="n">
        <v>46315.8991764583</v>
      </c>
      <c r="B647" s="3" t="s">
        <v>663</v>
      </c>
      <c r="C647" s="0" t="n">
        <v>3</v>
      </c>
      <c r="D647" s="0" t="n">
        <v>0</v>
      </c>
      <c r="E647" s="0" t="n">
        <v>0</v>
      </c>
      <c r="F647" s="0" t="n">
        <v>0</v>
      </c>
      <c r="G647" s="0" t="n">
        <v>0</v>
      </c>
      <c r="H647" s="0" t="n">
        <v>0</v>
      </c>
      <c r="I647" s="0" t="n">
        <v>0</v>
      </c>
      <c r="J647" s="0" t="n">
        <v>277</v>
      </c>
      <c r="K647" s="0" t="n">
        <v>-35.3630965</v>
      </c>
      <c r="L647" s="0" t="n">
        <v>149.1637991</v>
      </c>
      <c r="M647" s="0" t="n">
        <v>432.1</v>
      </c>
      <c r="N647" s="3" t="n">
        <f aca="false">(A647-$A$2)*86400</f>
        <v>674.943999876</v>
      </c>
      <c r="O647" s="3" t="n">
        <f aca="false">D647*0.3048</f>
        <v>0</v>
      </c>
      <c r="P647" s="3" t="n">
        <f aca="false">E647*0.44704</f>
        <v>0</v>
      </c>
      <c r="Q647" s="3" t="n">
        <f aca="false">F647*0.44704</f>
        <v>0</v>
      </c>
    </row>
    <row r="648" customFormat="false" ht="15" hidden="false" customHeight="false" outlineLevel="0" collapsed="false">
      <c r="A648" s="8" t="n">
        <v>46315.8991881829</v>
      </c>
      <c r="B648" s="3" t="s">
        <v>664</v>
      </c>
      <c r="C648" s="0" t="n">
        <v>3</v>
      </c>
      <c r="D648" s="0" t="n">
        <v>0</v>
      </c>
      <c r="E648" s="0" t="n">
        <v>0</v>
      </c>
      <c r="F648" s="0" t="n">
        <v>0</v>
      </c>
      <c r="G648" s="0" t="n">
        <v>0</v>
      </c>
      <c r="H648" s="0" t="n">
        <v>0</v>
      </c>
      <c r="I648" s="0" t="n">
        <v>0</v>
      </c>
      <c r="J648" s="0" t="n">
        <v>277</v>
      </c>
      <c r="K648" s="0" t="n">
        <v>-35.3630965</v>
      </c>
      <c r="L648" s="0" t="n">
        <v>149.1637991</v>
      </c>
      <c r="M648" s="0" t="n">
        <v>432.1</v>
      </c>
      <c r="N648" s="3" t="n">
        <f aca="false">(A648-$A$2)*86400</f>
        <v>675.956999813</v>
      </c>
      <c r="O648" s="3" t="n">
        <f aca="false">D648*0.3048</f>
        <v>0</v>
      </c>
      <c r="P648" s="3" t="n">
        <f aca="false">E648*0.44704</f>
        <v>0</v>
      </c>
      <c r="Q648" s="3" t="n">
        <f aca="false">F648*0.44704</f>
        <v>0</v>
      </c>
    </row>
    <row r="649" customFormat="false" ht="15" hidden="false" customHeight="false" outlineLevel="0" collapsed="false">
      <c r="A649" s="8" t="n">
        <v>46315.8991999074</v>
      </c>
      <c r="B649" s="3" t="s">
        <v>665</v>
      </c>
      <c r="C649" s="0" t="n">
        <v>3</v>
      </c>
      <c r="D649" s="0" t="n">
        <v>0</v>
      </c>
      <c r="E649" s="0" t="n">
        <v>0</v>
      </c>
      <c r="F649" s="0" t="n">
        <v>0</v>
      </c>
      <c r="G649" s="0" t="n">
        <v>0</v>
      </c>
      <c r="H649" s="0" t="n">
        <v>0</v>
      </c>
      <c r="I649" s="0" t="n">
        <v>0</v>
      </c>
      <c r="J649" s="0" t="n">
        <v>277</v>
      </c>
      <c r="K649" s="0" t="n">
        <v>-35.3630965</v>
      </c>
      <c r="L649" s="0" t="n">
        <v>149.1637991</v>
      </c>
      <c r="M649" s="0" t="n">
        <v>432.1</v>
      </c>
      <c r="N649" s="3" t="n">
        <f aca="false">(A649-$A$2)*86400</f>
        <v>676.970000378</v>
      </c>
      <c r="O649" s="3" t="n">
        <f aca="false">D649*0.3048</f>
        <v>0</v>
      </c>
      <c r="P649" s="3" t="n">
        <f aca="false">E649*0.44704</f>
        <v>0</v>
      </c>
      <c r="Q649" s="3" t="n">
        <f aca="false">F649*0.44704</f>
        <v>0</v>
      </c>
    </row>
    <row r="650" customFormat="false" ht="15" hidden="false" customHeight="false" outlineLevel="0" collapsed="false">
      <c r="A650" s="8" t="n">
        <v>46315.899211412</v>
      </c>
      <c r="B650" s="3" t="s">
        <v>666</v>
      </c>
      <c r="C650" s="0" t="n">
        <v>3</v>
      </c>
      <c r="D650" s="0" t="n">
        <v>0</v>
      </c>
      <c r="E650" s="0" t="n">
        <v>0</v>
      </c>
      <c r="F650" s="0" t="n">
        <v>0</v>
      </c>
      <c r="G650" s="0" t="n">
        <v>0</v>
      </c>
      <c r="H650" s="0" t="n">
        <v>0</v>
      </c>
      <c r="I650" s="0" t="n">
        <v>0</v>
      </c>
      <c r="J650" s="0" t="n">
        <v>277</v>
      </c>
      <c r="K650" s="0" t="n">
        <v>-35.3630965</v>
      </c>
      <c r="L650" s="0" t="n">
        <v>149.1637991</v>
      </c>
      <c r="M650" s="0" t="n">
        <v>432.1</v>
      </c>
      <c r="N650" s="3" t="n">
        <f aca="false">(A650-$A$2)*86400</f>
        <v>677.96399896</v>
      </c>
      <c r="O650" s="3" t="n">
        <f aca="false">D650*0.3048</f>
        <v>0</v>
      </c>
      <c r="P650" s="3" t="n">
        <f aca="false">E650*0.44704</f>
        <v>0</v>
      </c>
      <c r="Q650" s="3" t="n">
        <f aca="false">F650*0.44704</f>
        <v>0</v>
      </c>
    </row>
    <row r="651" customFormat="false" ht="15" hidden="false" customHeight="false" outlineLevel="0" collapsed="false">
      <c r="A651" s="8" t="n">
        <v>46315.8992463542</v>
      </c>
      <c r="B651" s="3" t="s">
        <v>667</v>
      </c>
      <c r="C651" s="0" t="n">
        <v>3</v>
      </c>
      <c r="D651" s="0" t="n">
        <v>0</v>
      </c>
      <c r="E651" s="0" t="n">
        <v>0</v>
      </c>
      <c r="F651" s="0" t="n">
        <v>0</v>
      </c>
      <c r="G651" s="0" t="n">
        <v>0</v>
      </c>
      <c r="H651" s="0" t="n">
        <v>0</v>
      </c>
      <c r="I651" s="0" t="n">
        <v>0</v>
      </c>
      <c r="J651" s="0" t="n">
        <v>277</v>
      </c>
      <c r="K651" s="0" t="n">
        <v>-35.3630965</v>
      </c>
      <c r="L651" s="0" t="n">
        <v>149.1637991</v>
      </c>
      <c r="M651" s="0" t="n">
        <v>432.1</v>
      </c>
      <c r="N651" s="3" t="n">
        <f aca="false">(A651-$A$2)*86400</f>
        <v>680.983000388</v>
      </c>
      <c r="O651" s="3" t="n">
        <f aca="false">D651*0.3048</f>
        <v>0</v>
      </c>
      <c r="P651" s="3" t="n">
        <f aca="false">E651*0.44704</f>
        <v>0</v>
      </c>
      <c r="Q651" s="3" t="n">
        <f aca="false">F651*0.44704</f>
        <v>0</v>
      </c>
    </row>
    <row r="652" customFormat="false" ht="15" hidden="false" customHeight="false" outlineLevel="0" collapsed="false">
      <c r="A652" s="8" t="n">
        <v>46315.899278588</v>
      </c>
      <c r="B652" s="3" t="s">
        <v>667</v>
      </c>
      <c r="C652" s="0" t="n">
        <v>1</v>
      </c>
      <c r="D652" s="0" t="n">
        <v>0</v>
      </c>
      <c r="E652" s="0" t="n">
        <v>0</v>
      </c>
      <c r="F652" s="0" t="n">
        <v>0</v>
      </c>
      <c r="G652" s="0" t="n">
        <v>0</v>
      </c>
      <c r="H652" s="0" t="n">
        <v>0</v>
      </c>
      <c r="I652" s="0" t="n">
        <v>0</v>
      </c>
      <c r="J652" s="0" t="n">
        <v>277</v>
      </c>
      <c r="K652" s="0" t="n">
        <v>-35.3630965</v>
      </c>
      <c r="L652" s="0" t="n">
        <v>149.1637991</v>
      </c>
      <c r="M652" s="0" t="n">
        <v>432.1</v>
      </c>
      <c r="N652" s="3" t="n">
        <f aca="false">(A652-$A$2)*86400</f>
        <v>683.767999615</v>
      </c>
      <c r="O652" s="3" t="n">
        <f aca="false">D652*0.3048</f>
        <v>0</v>
      </c>
      <c r="P652" s="3" t="n">
        <f aca="false">E652*0.44704</f>
        <v>0</v>
      </c>
      <c r="Q652" s="3" t="n">
        <f aca="false">F652*0.44704</f>
        <v>0</v>
      </c>
    </row>
    <row r="653" customFormat="false" ht="15" hidden="false" customHeight="false" outlineLevel="0" collapsed="false">
      <c r="A653" s="8" t="n">
        <v>46315.8993389931</v>
      </c>
      <c r="B653" s="3" t="s">
        <v>667</v>
      </c>
      <c r="C653" s="0" t="n">
        <v>1</v>
      </c>
      <c r="D653" s="0" t="n">
        <v>0</v>
      </c>
      <c r="E653" s="0" t="n">
        <v>0</v>
      </c>
      <c r="F653" s="0" t="n">
        <v>0</v>
      </c>
      <c r="G653" s="0" t="n">
        <v>0</v>
      </c>
      <c r="H653" s="0" t="n">
        <v>0</v>
      </c>
      <c r="I653" s="0" t="n">
        <v>0</v>
      </c>
      <c r="J653" s="0" t="n">
        <v>277</v>
      </c>
      <c r="K653" s="0" t="n">
        <v>-35.3630965</v>
      </c>
      <c r="L653" s="0" t="n">
        <v>149.1637991</v>
      </c>
      <c r="M653" s="0" t="n">
        <v>432.1</v>
      </c>
      <c r="N653" s="3" t="n">
        <f aca="false">(A653-$A$2)*86400</f>
        <v>688.986999168</v>
      </c>
      <c r="O653" s="3" t="n">
        <f aca="false">D653*0.3048</f>
        <v>0</v>
      </c>
      <c r="P653" s="3" t="n">
        <f aca="false">E653*0.44704</f>
        <v>0</v>
      </c>
      <c r="Q653" s="3" t="n">
        <f aca="false">F653*0.44704</f>
        <v>0</v>
      </c>
    </row>
    <row r="654" customFormat="false" ht="15" hidden="false" customHeight="false" outlineLevel="0" collapsed="false">
      <c r="A654" s="8" t="n">
        <v>46315.8993508218</v>
      </c>
      <c r="B654" s="3" t="s">
        <v>667</v>
      </c>
      <c r="C654" s="0" t="n">
        <v>1</v>
      </c>
      <c r="D654" s="0" t="n">
        <v>0</v>
      </c>
      <c r="E654" s="0" t="n">
        <v>0</v>
      </c>
      <c r="F654" s="0" t="n">
        <v>0</v>
      </c>
      <c r="G654" s="0" t="n">
        <v>0</v>
      </c>
      <c r="H654" s="0" t="n">
        <v>0</v>
      </c>
      <c r="I654" s="0" t="n">
        <v>0</v>
      </c>
      <c r="J654" s="0" t="n">
        <v>277</v>
      </c>
      <c r="K654" s="0" t="n">
        <v>-35.3630965</v>
      </c>
      <c r="L654" s="0" t="n">
        <v>149.1637991</v>
      </c>
      <c r="M654" s="0" t="n">
        <v>432.1</v>
      </c>
      <c r="N654" s="3" t="n">
        <f aca="false">(A654-$A$2)*86400</f>
        <v>690.009000012</v>
      </c>
      <c r="O654" s="3" t="n">
        <f aca="false">D654*0.3048</f>
        <v>0</v>
      </c>
      <c r="P654" s="3" t="n">
        <f aca="false">E654*0.44704</f>
        <v>0</v>
      </c>
      <c r="Q654" s="3" t="n">
        <f aca="false">F654*0.44704</f>
        <v>0</v>
      </c>
    </row>
    <row r="655" customFormat="false" ht="15" hidden="false" customHeight="false" outlineLevel="0" collapsed="false">
      <c r="A655" s="8" t="n">
        <v>46315.8993621528</v>
      </c>
      <c r="B655" s="3" t="s">
        <v>667</v>
      </c>
      <c r="C655" s="0" t="n">
        <v>1</v>
      </c>
      <c r="D655" s="0" t="n">
        <v>0</v>
      </c>
      <c r="E655" s="0" t="n">
        <v>0</v>
      </c>
      <c r="F655" s="0" t="n">
        <v>0</v>
      </c>
      <c r="G655" s="0" t="n">
        <v>0</v>
      </c>
      <c r="H655" s="0" t="n">
        <v>0</v>
      </c>
      <c r="I655" s="0" t="n">
        <v>0</v>
      </c>
      <c r="J655" s="0" t="n">
        <v>277</v>
      </c>
      <c r="K655" s="0" t="n">
        <v>-35.3630965</v>
      </c>
      <c r="L655" s="0" t="n">
        <v>149.1637991</v>
      </c>
      <c r="M655" s="0" t="n">
        <v>432.1</v>
      </c>
      <c r="N655" s="3" t="n">
        <f aca="false">(A655-$A$2)*86400</f>
        <v>690.987999807</v>
      </c>
      <c r="O655" s="3" t="n">
        <f aca="false">D655*0.3048</f>
        <v>0</v>
      </c>
      <c r="P655" s="3" t="n">
        <f aca="false">E655*0.44704</f>
        <v>0</v>
      </c>
      <c r="Q655" s="3" t="n">
        <f aca="false">F655*0.44704</f>
        <v>0</v>
      </c>
    </row>
    <row r="656" customFormat="false" ht="15" hidden="false" customHeight="false" outlineLevel="0" collapsed="false">
      <c r="A656" s="8" t="n">
        <v>46315.8993735995</v>
      </c>
      <c r="B656" s="3" t="s">
        <v>667</v>
      </c>
      <c r="C656" s="0" t="n">
        <v>1</v>
      </c>
      <c r="D656" s="0" t="n">
        <v>0</v>
      </c>
      <c r="E656" s="0" t="n">
        <v>0</v>
      </c>
      <c r="F656" s="0" t="n">
        <v>0</v>
      </c>
      <c r="G656" s="0" t="n">
        <v>0</v>
      </c>
      <c r="H656" s="0" t="n">
        <v>0</v>
      </c>
      <c r="I656" s="0" t="n">
        <v>0</v>
      </c>
      <c r="J656" s="0" t="n">
        <v>277</v>
      </c>
      <c r="K656" s="0" t="n">
        <v>-35.3630965</v>
      </c>
      <c r="L656" s="0" t="n">
        <v>149.1637991</v>
      </c>
      <c r="M656" s="0" t="n">
        <v>432.1</v>
      </c>
      <c r="N656" s="3" t="n">
        <f aca="false">(A656-$A$2)*86400</f>
        <v>691.97700005</v>
      </c>
      <c r="O656" s="3" t="n">
        <f aca="false">D656*0.3048</f>
        <v>0</v>
      </c>
      <c r="P656" s="3" t="n">
        <f aca="false">E656*0.44704</f>
        <v>0</v>
      </c>
      <c r="Q656" s="3" t="n">
        <f aca="false">F656*0.44704</f>
        <v>0</v>
      </c>
    </row>
    <row r="657" customFormat="false" ht="15" hidden="false" customHeight="false" outlineLevel="0" collapsed="false">
      <c r="A657" s="8" t="n">
        <v>46315.8993850116</v>
      </c>
      <c r="B657" s="3" t="s">
        <v>667</v>
      </c>
      <c r="C657" s="0" t="n">
        <v>1</v>
      </c>
      <c r="D657" s="0" t="n">
        <v>0</v>
      </c>
      <c r="E657" s="0" t="n">
        <v>0</v>
      </c>
      <c r="F657" s="0" t="n">
        <v>0</v>
      </c>
      <c r="G657" s="0" t="n">
        <v>0</v>
      </c>
      <c r="H657" s="0" t="n">
        <v>0</v>
      </c>
      <c r="I657" s="0" t="n">
        <v>0</v>
      </c>
      <c r="J657" s="0" t="n">
        <v>277</v>
      </c>
      <c r="K657" s="0" t="n">
        <v>-35.3630965</v>
      </c>
      <c r="L657" s="0" t="n">
        <v>149.1637991</v>
      </c>
      <c r="M657" s="0" t="n">
        <v>432.1</v>
      </c>
      <c r="N657" s="3" t="n">
        <f aca="false">(A657-$A$2)*86400</f>
        <v>692.962999781</v>
      </c>
      <c r="O657" s="3" t="n">
        <f aca="false">D657*0.3048</f>
        <v>0</v>
      </c>
      <c r="P657" s="3" t="n">
        <f aca="false">E657*0.44704</f>
        <v>0</v>
      </c>
      <c r="Q657" s="3" t="n">
        <f aca="false">F657*0.44704</f>
        <v>0</v>
      </c>
    </row>
    <row r="658" customFormat="false" ht="15" hidden="false" customHeight="false" outlineLevel="0" collapsed="false">
      <c r="A658" s="8" t="n">
        <v>46315.8993969792</v>
      </c>
      <c r="B658" s="3" t="s">
        <v>667</v>
      </c>
      <c r="C658" s="0" t="n">
        <v>1</v>
      </c>
      <c r="D658" s="0" t="n">
        <v>0</v>
      </c>
      <c r="E658" s="0" t="n">
        <v>0</v>
      </c>
      <c r="F658" s="0" t="n">
        <v>0</v>
      </c>
      <c r="G658" s="0" t="n">
        <v>0</v>
      </c>
      <c r="H658" s="0" t="n">
        <v>0</v>
      </c>
      <c r="I658" s="0" t="n">
        <v>0</v>
      </c>
      <c r="J658" s="0" t="n">
        <v>277</v>
      </c>
      <c r="K658" s="0" t="n">
        <v>-35.3630965</v>
      </c>
      <c r="L658" s="0" t="n">
        <v>149.1637991</v>
      </c>
      <c r="M658" s="0" t="n">
        <v>432.1</v>
      </c>
      <c r="N658" s="3" t="n">
        <f aca="false">(A658-$A$2)*86400</f>
        <v>693.997000157</v>
      </c>
      <c r="O658" s="3" t="n">
        <f aca="false">D658*0.3048</f>
        <v>0</v>
      </c>
      <c r="P658" s="3" t="n">
        <f aca="false">E658*0.44704</f>
        <v>0</v>
      </c>
      <c r="Q658" s="3" t="n">
        <f aca="false">F658*0.44704</f>
        <v>0</v>
      </c>
    </row>
    <row r="659" customFormat="false" ht="15" hidden="false" customHeight="false" outlineLevel="0" collapsed="false">
      <c r="A659" s="8" t="n">
        <v>46315.8994081482</v>
      </c>
      <c r="B659" s="3" t="s">
        <v>667</v>
      </c>
      <c r="C659" s="0" t="n">
        <v>1</v>
      </c>
      <c r="D659" s="0" t="n">
        <v>0</v>
      </c>
      <c r="E659" s="0" t="n">
        <v>0</v>
      </c>
      <c r="F659" s="0" t="n">
        <v>0</v>
      </c>
      <c r="G659" s="0" t="n">
        <v>0</v>
      </c>
      <c r="H659" s="0" t="n">
        <v>0</v>
      </c>
      <c r="I659" s="0" t="n">
        <v>0</v>
      </c>
      <c r="J659" s="0" t="n">
        <v>277</v>
      </c>
      <c r="K659" s="0" t="n">
        <v>-35.3630965</v>
      </c>
      <c r="L659" s="0" t="n">
        <v>149.1637991</v>
      </c>
      <c r="M659" s="0" t="n">
        <v>432.1</v>
      </c>
      <c r="N659" s="3" t="n">
        <f aca="false">(A659-$A$2)*86400</f>
        <v>694.962000078</v>
      </c>
      <c r="O659" s="3" t="n">
        <f aca="false">D659*0.3048</f>
        <v>0</v>
      </c>
      <c r="P659" s="3" t="n">
        <f aca="false">E659*0.44704</f>
        <v>0</v>
      </c>
      <c r="Q659" s="3" t="n">
        <f aca="false">F659*0.44704</f>
        <v>0</v>
      </c>
    </row>
    <row r="660" customFormat="false" ht="15" hidden="false" customHeight="false" outlineLevel="0" collapsed="false">
      <c r="A660" s="8" t="n">
        <v>46315.8994410532</v>
      </c>
      <c r="B660" s="3" t="s">
        <v>667</v>
      </c>
      <c r="C660" s="0" t="n">
        <v>1</v>
      </c>
      <c r="D660" s="0" t="n">
        <v>0</v>
      </c>
      <c r="E660" s="0" t="n">
        <v>0</v>
      </c>
      <c r="F660" s="0" t="n">
        <v>0</v>
      </c>
      <c r="G660" s="0" t="n">
        <v>0</v>
      </c>
      <c r="H660" s="0" t="n">
        <v>0</v>
      </c>
      <c r="I660" s="0" t="n">
        <v>0</v>
      </c>
      <c r="J660" s="0" t="n">
        <v>277</v>
      </c>
      <c r="K660" s="0" t="n">
        <v>-35.3630965</v>
      </c>
      <c r="L660" s="0" t="n">
        <v>149.1637991</v>
      </c>
      <c r="M660" s="0" t="n">
        <v>432.1</v>
      </c>
      <c r="N660" s="3" t="n">
        <f aca="false">(A660-$A$2)*86400</f>
        <v>697.80499977</v>
      </c>
      <c r="O660" s="3" t="n">
        <f aca="false">D660*0.3048</f>
        <v>0</v>
      </c>
      <c r="P660" s="3" t="n">
        <f aca="false">E660*0.44704</f>
        <v>0</v>
      </c>
      <c r="Q660" s="3" t="n">
        <f aca="false">F660*0.44704</f>
        <v>0</v>
      </c>
    </row>
    <row r="661" customFormat="false" ht="15" hidden="false" customHeight="false" outlineLevel="0" collapsed="false">
      <c r="A661" s="8" t="n">
        <v>46315.8994736458</v>
      </c>
      <c r="B661" s="3" t="s">
        <v>667</v>
      </c>
      <c r="C661" s="0" t="n">
        <v>1</v>
      </c>
      <c r="D661" s="0" t="n">
        <v>0</v>
      </c>
      <c r="E661" s="0" t="n">
        <v>0</v>
      </c>
      <c r="F661" s="0" t="n">
        <v>0</v>
      </c>
      <c r="G661" s="0" t="n">
        <v>0</v>
      </c>
      <c r="H661" s="0" t="n">
        <v>0</v>
      </c>
      <c r="I661" s="0" t="n">
        <v>0</v>
      </c>
      <c r="J661" s="0" t="n">
        <v>277</v>
      </c>
      <c r="K661" s="0" t="n">
        <v>-35.3630965</v>
      </c>
      <c r="L661" s="0" t="n">
        <v>149.1637991</v>
      </c>
      <c r="M661" s="0" t="n">
        <v>432.1</v>
      </c>
      <c r="N661" s="3" t="n">
        <f aca="false">(A661-$A$2)*86400</f>
        <v>700.620999885</v>
      </c>
      <c r="O661" s="3" t="n">
        <f aca="false">D661*0.3048</f>
        <v>0</v>
      </c>
      <c r="P661" s="3" t="n">
        <f aca="false">E661*0.44704</f>
        <v>0</v>
      </c>
      <c r="Q661" s="3" t="n">
        <f aca="false">F661*0.44704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2026-10-21T12:35:28Z</dcterms:created>
  <dc:creator>openpyxl</dc:creator>
  <dc:description/>
  <dc:language>en-US</dc:language>
  <cp:lastModifiedBy/>
  <dcterms:modified xsi:type="dcterms:W3CDTF">2026-10-21T12:35:32Z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